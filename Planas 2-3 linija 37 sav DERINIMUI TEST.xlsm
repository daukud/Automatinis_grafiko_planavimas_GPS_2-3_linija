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umantasK\Desktop\gps\"/>
    </mc:Choice>
  </mc:AlternateContent>
  <xr:revisionPtr revIDLastSave="0" documentId="13_ncr:1_{9F49C746-2A1E-40A0-9F4D-BEF0821B830D}" xr6:coauthVersionLast="47" xr6:coauthVersionMax="47" xr10:uidLastSave="{00000000-0000-0000-0000-000000000000}"/>
  <bookViews>
    <workbookView xWindow="1140" yWindow="-48" windowWidth="29628" windowHeight="17376" tabRatio="718" firstSheet="2" activeTab="4" xr2:uid="{00000000-000D-0000-FFFF-FFFF00000000}"/>
  </bookViews>
  <sheets>
    <sheet name="table_nedarbo_dienos" sheetId="60" state="hidden" r:id="rId1"/>
    <sheet name="table_gaminiu_grupes" sheetId="61" state="hidden" r:id="rId2"/>
    <sheet name="product" sheetId="58" r:id="rId3"/>
    <sheet name="planas" sheetId="30" r:id="rId4"/>
    <sheet name="37 Sav" sheetId="76" r:id="rId5"/>
    <sheet name="suvestine" sheetId="4" r:id="rId6"/>
    <sheet name="komplektas" sheetId="55" r:id="rId7"/>
    <sheet name="nustatymai" sheetId="28" r:id="rId8"/>
    <sheet name="n-stalai" sheetId="52" r:id="rId9"/>
    <sheet name="instrukcija" sheetId="46" r:id="rId10"/>
  </sheets>
  <functionGroups builtInGroupCount="19"/>
  <definedNames>
    <definedName name="_xlnm._FilterDatabase" localSheetId="5" hidden="1">suvestine!$A$1:$BC$317</definedName>
    <definedName name="ExternalData_1" localSheetId="1" hidden="1">table_gaminiu_grupes!$A$1:$C$82</definedName>
    <definedName name="ExternalData_2" localSheetId="2" hidden="1">product!$A$1:$BB$317</definedName>
    <definedName name="ExternalData_3" localSheetId="0" hidden="1">table_nedarbo_dienos!$A$1:$C$95</definedName>
    <definedName name="plano_sav">planas!$B$2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7" i="30" l="1"/>
  <c r="I26" i="30"/>
  <c r="I25" i="30"/>
  <c r="I24" i="30"/>
  <c r="I23" i="30"/>
  <c r="I22" i="30"/>
  <c r="I21" i="30"/>
  <c r="I20" i="30"/>
  <c r="I19" i="30"/>
  <c r="I18" i="30"/>
  <c r="BB317" i="4"/>
  <c r="AR317" i="4"/>
  <c r="BB316" i="4"/>
  <c r="AR316" i="4"/>
  <c r="BB315" i="4"/>
  <c r="AR315" i="4"/>
  <c r="BB314" i="4"/>
  <c r="AR314" i="4"/>
  <c r="BB313" i="4"/>
  <c r="AR313" i="4"/>
  <c r="BB312" i="4"/>
  <c r="AR312" i="4"/>
  <c r="BB311" i="4"/>
  <c r="AR311" i="4"/>
  <c r="BB310" i="4"/>
  <c r="AR310" i="4"/>
  <c r="BB309" i="4"/>
  <c r="AR309" i="4"/>
  <c r="BB308" i="4"/>
  <c r="AR308" i="4"/>
  <c r="BB307" i="4"/>
  <c r="AR307" i="4"/>
  <c r="BB306" i="4"/>
  <c r="AR306" i="4"/>
  <c r="BB305" i="4"/>
  <c r="AR305" i="4"/>
  <c r="BB304" i="4"/>
  <c r="AR304" i="4"/>
  <c r="BB303" i="4"/>
  <c r="AR303" i="4"/>
  <c r="BB302" i="4"/>
  <c r="AR302" i="4"/>
  <c r="BB301" i="4"/>
  <c r="AR301" i="4"/>
  <c r="BB300" i="4"/>
  <c r="AR300" i="4"/>
  <c r="BB299" i="4"/>
  <c r="AR299" i="4"/>
  <c r="BB298" i="4"/>
  <c r="AR298" i="4"/>
  <c r="BB297" i="4"/>
  <c r="AR297" i="4"/>
  <c r="BB296" i="4"/>
  <c r="AR296" i="4"/>
  <c r="BB295" i="4"/>
  <c r="AR295" i="4"/>
  <c r="BB294" i="4"/>
  <c r="AR294" i="4"/>
  <c r="BB293" i="4"/>
  <c r="AR293" i="4"/>
  <c r="BB292" i="4"/>
  <c r="AR292" i="4"/>
  <c r="BB291" i="4"/>
  <c r="AR291" i="4"/>
  <c r="BB290" i="4"/>
  <c r="AR290" i="4"/>
  <c r="BB289" i="4"/>
  <c r="AR289" i="4"/>
  <c r="BB288" i="4"/>
  <c r="AR288" i="4"/>
  <c r="BB287" i="4"/>
  <c r="AR287" i="4"/>
  <c r="BB286" i="4"/>
  <c r="AR286" i="4"/>
  <c r="BB285" i="4"/>
  <c r="AR285" i="4"/>
  <c r="BB284" i="4"/>
  <c r="AR284" i="4"/>
  <c r="BB283" i="4"/>
  <c r="AR283" i="4"/>
  <c r="BB282" i="4"/>
  <c r="AR282" i="4"/>
  <c r="BB281" i="4"/>
  <c r="AR281" i="4"/>
  <c r="BB280" i="4"/>
  <c r="AR280" i="4"/>
  <c r="BB279" i="4"/>
  <c r="AR279" i="4"/>
  <c r="BB278" i="4"/>
  <c r="AR278" i="4"/>
  <c r="BB277" i="4"/>
  <c r="AR277" i="4"/>
  <c r="BB276" i="4"/>
  <c r="AR276" i="4"/>
  <c r="BB275" i="4"/>
  <c r="AR275" i="4"/>
  <c r="BB274" i="4"/>
  <c r="AR274" i="4"/>
  <c r="BB273" i="4"/>
  <c r="AR273" i="4"/>
  <c r="BB272" i="4"/>
  <c r="AR272" i="4"/>
  <c r="BB271" i="4"/>
  <c r="AR271" i="4"/>
  <c r="BB270" i="4"/>
  <c r="AR270" i="4"/>
  <c r="BB269" i="4"/>
  <c r="AR269" i="4"/>
  <c r="BB268" i="4"/>
  <c r="AR268" i="4"/>
  <c r="BB267" i="4"/>
  <c r="AR267" i="4"/>
  <c r="BB266" i="4"/>
  <c r="AR266" i="4"/>
  <c r="BB265" i="4"/>
  <c r="AR265" i="4"/>
  <c r="BB264" i="4"/>
  <c r="AR264" i="4"/>
  <c r="BB263" i="4"/>
  <c r="AR263" i="4"/>
  <c r="BB262" i="4"/>
  <c r="AR262" i="4"/>
  <c r="BB261" i="4"/>
  <c r="AR261" i="4"/>
  <c r="BB260" i="4"/>
  <c r="AR260" i="4"/>
  <c r="BB259" i="4"/>
  <c r="AR259" i="4"/>
  <c r="BB258" i="4"/>
  <c r="AR258" i="4"/>
  <c r="BB257" i="4"/>
  <c r="AR257" i="4"/>
  <c r="BB256" i="4"/>
  <c r="AR256" i="4"/>
  <c r="BB255" i="4"/>
  <c r="AR255" i="4"/>
  <c r="BB254" i="4"/>
  <c r="AR254" i="4"/>
  <c r="BB253" i="4"/>
  <c r="AR253" i="4"/>
  <c r="BB252" i="4"/>
  <c r="AR252" i="4"/>
  <c r="BB251" i="4"/>
  <c r="AR251" i="4"/>
  <c r="BB250" i="4"/>
  <c r="AR250" i="4"/>
  <c r="BB249" i="4"/>
  <c r="AR249" i="4"/>
  <c r="BB248" i="4"/>
  <c r="AR248" i="4"/>
  <c r="BB247" i="4"/>
  <c r="AR247" i="4"/>
  <c r="BB246" i="4"/>
  <c r="AR246" i="4"/>
  <c r="BB245" i="4"/>
  <c r="AR245" i="4"/>
  <c r="BB244" i="4"/>
  <c r="AR244" i="4"/>
  <c r="BB243" i="4"/>
  <c r="AR243" i="4"/>
  <c r="BB242" i="4"/>
  <c r="AR242" i="4"/>
  <c r="BB241" i="4"/>
  <c r="AR241" i="4"/>
  <c r="BB240" i="4"/>
  <c r="AR240" i="4"/>
  <c r="BB239" i="4"/>
  <c r="AR239" i="4"/>
  <c r="BB238" i="4"/>
  <c r="AR238" i="4"/>
  <c r="BB237" i="4"/>
  <c r="AR237" i="4"/>
  <c r="BB236" i="4"/>
  <c r="AR236" i="4"/>
  <c r="BB235" i="4"/>
  <c r="AR235" i="4"/>
  <c r="BB234" i="4"/>
  <c r="AR234" i="4"/>
  <c r="BB233" i="4"/>
  <c r="AR233" i="4"/>
  <c r="BB232" i="4"/>
  <c r="AR232" i="4"/>
  <c r="BB231" i="4"/>
  <c r="AR231" i="4"/>
  <c r="BB230" i="4"/>
  <c r="AR230" i="4"/>
  <c r="BB229" i="4"/>
  <c r="AR229" i="4"/>
  <c r="BB228" i="4"/>
  <c r="AR228" i="4"/>
  <c r="BB227" i="4"/>
  <c r="AR227" i="4"/>
  <c r="BB226" i="4"/>
  <c r="AR226" i="4"/>
  <c r="BB225" i="4"/>
  <c r="AR225" i="4"/>
  <c r="BB224" i="4"/>
  <c r="AR224" i="4"/>
  <c r="BB223" i="4"/>
  <c r="AR223" i="4"/>
  <c r="BB222" i="4"/>
  <c r="AR222" i="4"/>
  <c r="BB221" i="4"/>
  <c r="AR221" i="4"/>
  <c r="BB220" i="4"/>
  <c r="AR220" i="4"/>
  <c r="BB219" i="4"/>
  <c r="AR219" i="4"/>
  <c r="BB218" i="4"/>
  <c r="AR218" i="4"/>
  <c r="BB217" i="4"/>
  <c r="AR217" i="4"/>
  <c r="BB216" i="4"/>
  <c r="AR216" i="4"/>
  <c r="BB215" i="4"/>
  <c r="AR215" i="4"/>
  <c r="BB214" i="4"/>
  <c r="AR214" i="4"/>
  <c r="BB213" i="4"/>
  <c r="AR213" i="4"/>
  <c r="BB212" i="4"/>
  <c r="AR212" i="4"/>
  <c r="BB211" i="4"/>
  <c r="AR211" i="4"/>
  <c r="BB210" i="4"/>
  <c r="AR210" i="4"/>
  <c r="BB209" i="4"/>
  <c r="AR209" i="4"/>
  <c r="BB208" i="4"/>
  <c r="AR208" i="4"/>
  <c r="BB207" i="4"/>
  <c r="AR207" i="4"/>
  <c r="BB206" i="4"/>
  <c r="AR206" i="4"/>
  <c r="BB205" i="4"/>
  <c r="AR205" i="4"/>
  <c r="BB204" i="4"/>
  <c r="AR204" i="4"/>
  <c r="BB203" i="4"/>
  <c r="AR203" i="4"/>
  <c r="BB202" i="4"/>
  <c r="AR202" i="4"/>
  <c r="BB201" i="4"/>
  <c r="AR201" i="4"/>
  <c r="BB200" i="4"/>
  <c r="AR200" i="4"/>
  <c r="BB199" i="4"/>
  <c r="AR199" i="4"/>
  <c r="BB198" i="4"/>
  <c r="AR198" i="4"/>
  <c r="BB197" i="4"/>
  <c r="AR197" i="4"/>
  <c r="BB196" i="4"/>
  <c r="AR196" i="4"/>
  <c r="BB195" i="4"/>
  <c r="AR195" i="4"/>
  <c r="BB194" i="4"/>
  <c r="AR194" i="4"/>
  <c r="BB193" i="4"/>
  <c r="AR193" i="4"/>
  <c r="BB192" i="4"/>
  <c r="AR192" i="4"/>
  <c r="BB191" i="4"/>
  <c r="AR191" i="4"/>
  <c r="BB190" i="4"/>
  <c r="AR190" i="4"/>
  <c r="BB189" i="4"/>
  <c r="AR189" i="4"/>
  <c r="BB188" i="4"/>
  <c r="AR188" i="4"/>
  <c r="BB187" i="4"/>
  <c r="AR187" i="4"/>
  <c r="BB186" i="4"/>
  <c r="AR186" i="4"/>
  <c r="BB185" i="4"/>
  <c r="AR185" i="4"/>
  <c r="BB184" i="4"/>
  <c r="AR184" i="4"/>
  <c r="BB183" i="4"/>
  <c r="AR183" i="4"/>
  <c r="BB182" i="4"/>
  <c r="AR182" i="4"/>
  <c r="BB181" i="4"/>
  <c r="AR181" i="4"/>
  <c r="BB180" i="4"/>
  <c r="AR180" i="4"/>
  <c r="BB179" i="4"/>
  <c r="AR179" i="4"/>
  <c r="BB178" i="4"/>
  <c r="AR178" i="4"/>
  <c r="BB177" i="4"/>
  <c r="AR177" i="4"/>
  <c r="BB176" i="4"/>
  <c r="AR176" i="4"/>
  <c r="BB175" i="4"/>
  <c r="AR175" i="4"/>
  <c r="BB174" i="4"/>
  <c r="AR174" i="4"/>
  <c r="BB173" i="4"/>
  <c r="AR173" i="4"/>
  <c r="BB172" i="4"/>
  <c r="AR172" i="4"/>
  <c r="BB171" i="4"/>
  <c r="AR171" i="4"/>
  <c r="BB170" i="4"/>
  <c r="AR170" i="4"/>
  <c r="BB169" i="4"/>
  <c r="AR169" i="4"/>
  <c r="BB168" i="4"/>
  <c r="AR168" i="4"/>
  <c r="BB167" i="4"/>
  <c r="AR167" i="4"/>
  <c r="BB166" i="4"/>
  <c r="AR166" i="4"/>
  <c r="BB165" i="4"/>
  <c r="AR165" i="4"/>
  <c r="BB164" i="4"/>
  <c r="AR164" i="4"/>
  <c r="BB163" i="4"/>
  <c r="AR163" i="4"/>
  <c r="BB162" i="4"/>
  <c r="AR162" i="4"/>
  <c r="BB161" i="4"/>
  <c r="AR161" i="4"/>
  <c r="BB160" i="4"/>
  <c r="AR160" i="4"/>
  <c r="BB159" i="4"/>
  <c r="AR159" i="4"/>
  <c r="BB158" i="4"/>
  <c r="AR158" i="4"/>
  <c r="BB157" i="4"/>
  <c r="AR157" i="4"/>
  <c r="BB156" i="4"/>
  <c r="AR156" i="4"/>
  <c r="BB155" i="4"/>
  <c r="AR155" i="4"/>
  <c r="BB154" i="4"/>
  <c r="AR154" i="4"/>
  <c r="BB153" i="4"/>
  <c r="AR153" i="4"/>
  <c r="BB152" i="4"/>
  <c r="AR152" i="4"/>
  <c r="BB151" i="4"/>
  <c r="AR151" i="4"/>
  <c r="BB150" i="4"/>
  <c r="AR150" i="4"/>
  <c r="BB149" i="4"/>
  <c r="AR149" i="4"/>
  <c r="BB148" i="4"/>
  <c r="AR148" i="4"/>
  <c r="BB147" i="4"/>
  <c r="AR147" i="4"/>
  <c r="BB146" i="4"/>
  <c r="AR146" i="4"/>
  <c r="BB145" i="4"/>
  <c r="AR145" i="4"/>
  <c r="BB144" i="4"/>
  <c r="AR144" i="4"/>
  <c r="BB143" i="4"/>
  <c r="AR143" i="4"/>
  <c r="BB142" i="4"/>
  <c r="AR142" i="4"/>
  <c r="BB141" i="4"/>
  <c r="AR141" i="4"/>
  <c r="BB140" i="4"/>
  <c r="AR140" i="4"/>
  <c r="BB139" i="4"/>
  <c r="AR139" i="4"/>
  <c r="BB138" i="4"/>
  <c r="AR138" i="4"/>
  <c r="BB137" i="4"/>
  <c r="AR137" i="4"/>
  <c r="BB136" i="4"/>
  <c r="AR136" i="4"/>
  <c r="BB135" i="4"/>
  <c r="AR135" i="4"/>
  <c r="BB134" i="4"/>
  <c r="AR134" i="4"/>
  <c r="BB133" i="4"/>
  <c r="AR133" i="4"/>
  <c r="BB132" i="4"/>
  <c r="AR132" i="4"/>
  <c r="BB131" i="4"/>
  <c r="AR131" i="4"/>
  <c r="BB130" i="4"/>
  <c r="AR130" i="4"/>
  <c r="BB129" i="4"/>
  <c r="AR129" i="4"/>
  <c r="BB128" i="4"/>
  <c r="AR128" i="4"/>
  <c r="BB127" i="4"/>
  <c r="AR127" i="4"/>
  <c r="BB126" i="4"/>
  <c r="AR126" i="4"/>
  <c r="BB125" i="4"/>
  <c r="AR125" i="4"/>
  <c r="BB124" i="4"/>
  <c r="AR124" i="4"/>
  <c r="BB123" i="4"/>
  <c r="AR123" i="4"/>
  <c r="BB122" i="4"/>
  <c r="AR122" i="4"/>
  <c r="BB121" i="4"/>
  <c r="AR121" i="4"/>
  <c r="BB120" i="4"/>
  <c r="AR120" i="4"/>
  <c r="BB119" i="4"/>
  <c r="AR119" i="4"/>
  <c r="BB118" i="4"/>
  <c r="AR118" i="4"/>
  <c r="BB117" i="4"/>
  <c r="AR117" i="4"/>
  <c r="BB116" i="4"/>
  <c r="AR116" i="4"/>
  <c r="BB115" i="4"/>
  <c r="AR115" i="4"/>
  <c r="BB114" i="4"/>
  <c r="AR114" i="4"/>
  <c r="BB113" i="4"/>
  <c r="AR113" i="4"/>
  <c r="BB112" i="4"/>
  <c r="AR112" i="4"/>
  <c r="BB111" i="4"/>
  <c r="AR111" i="4"/>
  <c r="BB110" i="4"/>
  <c r="AR110" i="4"/>
  <c r="BB109" i="4"/>
  <c r="AR109" i="4"/>
  <c r="BB108" i="4"/>
  <c r="AR108" i="4"/>
  <c r="BB107" i="4"/>
  <c r="AR107" i="4"/>
  <c r="BB106" i="4"/>
  <c r="AR106" i="4"/>
  <c r="BB105" i="4"/>
  <c r="AR105" i="4"/>
  <c r="BB104" i="4"/>
  <c r="AR104" i="4"/>
  <c r="BB103" i="4"/>
  <c r="AR103" i="4"/>
  <c r="BB102" i="4"/>
  <c r="AR102" i="4"/>
  <c r="BB101" i="4"/>
  <c r="AR101" i="4"/>
  <c r="BB100" i="4"/>
  <c r="AR100" i="4"/>
  <c r="BB99" i="4"/>
  <c r="AR99" i="4"/>
  <c r="BB98" i="4"/>
  <c r="AR98" i="4"/>
  <c r="BB97" i="4"/>
  <c r="AR97" i="4"/>
  <c r="BB96" i="4"/>
  <c r="AR96" i="4"/>
  <c r="BB95" i="4"/>
  <c r="AR95" i="4"/>
  <c r="BB94" i="4"/>
  <c r="AR94" i="4"/>
  <c r="BB93" i="4"/>
  <c r="AR93" i="4"/>
  <c r="BB92" i="4"/>
  <c r="AR92" i="4"/>
  <c r="BB91" i="4"/>
  <c r="AR91" i="4"/>
  <c r="BB90" i="4"/>
  <c r="AR90" i="4"/>
  <c r="BB89" i="4"/>
  <c r="AR89" i="4"/>
  <c r="BB88" i="4"/>
  <c r="AR88" i="4"/>
  <c r="BB87" i="4"/>
  <c r="AR87" i="4"/>
  <c r="BB86" i="4"/>
  <c r="AR86" i="4"/>
  <c r="BB85" i="4"/>
  <c r="AR85" i="4"/>
  <c r="BB84" i="4"/>
  <c r="AR84" i="4"/>
  <c r="BB83" i="4"/>
  <c r="AR83" i="4"/>
  <c r="BB82" i="4"/>
  <c r="AR82" i="4"/>
  <c r="BB81" i="4"/>
  <c r="AR81" i="4"/>
  <c r="BB80" i="4"/>
  <c r="AR80" i="4"/>
  <c r="BB79" i="4"/>
  <c r="AR79" i="4"/>
  <c r="BB78" i="4"/>
  <c r="AR78" i="4"/>
  <c r="BB77" i="4"/>
  <c r="AR77" i="4"/>
  <c r="BB76" i="4"/>
  <c r="AR76" i="4"/>
  <c r="BB75" i="4"/>
  <c r="AR75" i="4"/>
  <c r="BB74" i="4"/>
  <c r="AR74" i="4"/>
  <c r="BB73" i="4"/>
  <c r="AR73" i="4"/>
  <c r="BB72" i="4"/>
  <c r="AR72" i="4"/>
  <c r="BB71" i="4"/>
  <c r="AR71" i="4"/>
  <c r="BB70" i="4"/>
  <c r="AR70" i="4"/>
  <c r="BB69" i="4"/>
  <c r="AR69" i="4"/>
  <c r="BB68" i="4"/>
  <c r="AR68" i="4"/>
  <c r="BB67" i="4"/>
  <c r="AR67" i="4"/>
  <c r="BB66" i="4"/>
  <c r="AR66" i="4"/>
  <c r="BB65" i="4"/>
  <c r="AR65" i="4"/>
  <c r="BB64" i="4"/>
  <c r="AR64" i="4"/>
  <c r="BB63" i="4"/>
  <c r="AR63" i="4"/>
  <c r="BB62" i="4"/>
  <c r="AR62" i="4"/>
  <c r="BB61" i="4"/>
  <c r="AR61" i="4"/>
  <c r="BB60" i="4"/>
  <c r="AR60" i="4"/>
  <c r="BB59" i="4"/>
  <c r="AR59" i="4"/>
  <c r="BB58" i="4"/>
  <c r="AR58" i="4"/>
  <c r="BB57" i="4"/>
  <c r="AR57" i="4"/>
  <c r="BB56" i="4"/>
  <c r="AR56" i="4"/>
  <c r="BB55" i="4"/>
  <c r="AR55" i="4"/>
  <c r="BB54" i="4"/>
  <c r="AR54" i="4"/>
  <c r="BB53" i="4"/>
  <c r="AR53" i="4"/>
  <c r="BB52" i="4"/>
  <c r="AR52" i="4"/>
  <c r="BB51" i="4"/>
  <c r="AR51" i="4"/>
  <c r="BB50" i="4"/>
  <c r="AR50" i="4"/>
  <c r="BB49" i="4"/>
  <c r="AR49" i="4"/>
  <c r="BB48" i="4"/>
  <c r="AR48" i="4"/>
  <c r="BB47" i="4"/>
  <c r="AR47" i="4"/>
  <c r="BB46" i="4"/>
  <c r="AR46" i="4"/>
  <c r="BB45" i="4"/>
  <c r="AR45" i="4"/>
  <c r="BB44" i="4"/>
  <c r="AR44" i="4"/>
  <c r="BB43" i="4"/>
  <c r="AR43" i="4"/>
  <c r="BB42" i="4"/>
  <c r="AR42" i="4"/>
  <c r="BB41" i="4"/>
  <c r="AR41" i="4"/>
  <c r="BB40" i="4"/>
  <c r="AR40" i="4"/>
  <c r="BB39" i="4"/>
  <c r="AR39" i="4"/>
  <c r="BB38" i="4"/>
  <c r="AR38" i="4"/>
  <c r="BB37" i="4"/>
  <c r="AR37" i="4"/>
  <c r="BB36" i="4"/>
  <c r="AR36" i="4"/>
  <c r="BB35" i="4"/>
  <c r="AR35" i="4"/>
  <c r="BB34" i="4"/>
  <c r="AR34" i="4"/>
  <c r="BB33" i="4"/>
  <c r="AR33" i="4"/>
  <c r="BB32" i="4"/>
  <c r="AR32" i="4"/>
  <c r="BB31" i="4"/>
  <c r="AR31" i="4"/>
  <c r="BB30" i="4"/>
  <c r="AR30" i="4"/>
  <c r="BB29" i="4"/>
  <c r="AR29" i="4"/>
  <c r="BB28" i="4"/>
  <c r="AR28" i="4"/>
  <c r="BB27" i="4"/>
  <c r="AR27" i="4"/>
  <c r="BB26" i="4"/>
  <c r="AR26" i="4"/>
  <c r="BB25" i="4"/>
  <c r="AR25" i="4"/>
  <c r="BB24" i="4"/>
  <c r="AR24" i="4"/>
  <c r="BB23" i="4"/>
  <c r="AR23" i="4"/>
  <c r="BB22" i="4"/>
  <c r="AR22" i="4"/>
  <c r="BB21" i="4"/>
  <c r="AR21" i="4"/>
  <c r="BB20" i="4"/>
  <c r="AR20" i="4"/>
  <c r="BB19" i="4"/>
  <c r="AR19" i="4"/>
  <c r="BB18" i="4"/>
  <c r="AR18" i="4"/>
  <c r="BB17" i="4"/>
  <c r="AR17" i="4"/>
  <c r="BB16" i="4"/>
  <c r="AR16" i="4"/>
  <c r="BB15" i="4"/>
  <c r="AR15" i="4"/>
  <c r="BB14" i="4"/>
  <c r="AR14" i="4"/>
  <c r="BB13" i="4"/>
  <c r="AR13" i="4"/>
  <c r="BB12" i="4"/>
  <c r="AR12" i="4"/>
  <c r="BB11" i="4"/>
  <c r="AR11" i="4"/>
  <c r="BB10" i="4"/>
  <c r="AR10" i="4"/>
  <c r="BB9" i="4"/>
  <c r="AR9" i="4"/>
  <c r="BB8" i="4"/>
  <c r="AR8" i="4"/>
  <c r="BB7" i="4"/>
  <c r="AR7" i="4"/>
  <c r="BB6" i="4"/>
  <c r="AR6" i="4"/>
  <c r="BB5" i="4"/>
  <c r="AR5" i="4"/>
  <c r="BB4" i="4"/>
  <c r="AR4" i="4"/>
  <c r="BB3" i="4"/>
  <c r="AR3" i="4"/>
  <c r="BB2" i="4"/>
  <c r="AR2" i="4"/>
  <c r="A2" i="30" l="1"/>
  <c r="B6" i="28" l="1" a="1"/>
  <c r="B6" i="28" s="1"/>
  <c r="B10" i="28" l="1" a="1"/>
  <c r="B10" i="28" s="1"/>
  <c r="B11" i="28" a="1"/>
  <c r="B11" i="28" s="1"/>
  <c r="B12" i="28" a="1"/>
  <c r="B12" i="28" s="1"/>
  <c r="B7" i="28" a="1"/>
  <c r="B7" i="28" s="1"/>
  <c r="B9" i="28" l="1" a="1"/>
  <c r="B9" i="28" s="1"/>
  <c r="B8" i="28" l="1" a="1"/>
  <c r="B8" i="28" s="1"/>
  <c r="D3" i="30" l="1"/>
  <c r="B5" i="28" l="1" a="1"/>
  <c r="B5" i="28" s="1"/>
  <c r="B4" i="28" a="1"/>
  <c r="B4" i="28" s="1"/>
  <c r="B3" i="28" a="1"/>
  <c r="B3" i="28" s="1"/>
  <c r="H9" i="30" l="1" a="1"/>
  <c r="H9" i="30" s="1"/>
  <c r="H10" i="30" a="1"/>
  <c r="H10" i="30" s="1"/>
  <c r="M15" i="30" l="1"/>
  <c r="M14" i="30"/>
  <c r="M13" i="30"/>
  <c r="M12" i="30"/>
  <c r="M11" i="30"/>
  <c r="M10" i="30"/>
  <c r="M9" i="30"/>
  <c r="N15" i="30"/>
  <c r="N14" i="30"/>
  <c r="N13" i="30"/>
  <c r="N12" i="30"/>
  <c r="N11" i="30"/>
  <c r="N10" i="30"/>
  <c r="N9" i="30"/>
  <c r="N16" i="30" l="1"/>
  <c r="M16" i="30"/>
  <c r="AE15" i="30" l="1"/>
  <c r="AE14" i="30"/>
  <c r="AE13" i="30"/>
  <c r="AE12" i="30"/>
  <c r="AE11" i="30"/>
  <c r="AE10" i="30"/>
  <c r="AE9" i="30"/>
  <c r="AD15" i="30"/>
  <c r="AD14" i="30"/>
  <c r="AD13" i="30"/>
  <c r="AD12" i="30"/>
  <c r="AD11" i="30"/>
  <c r="AD10" i="30"/>
  <c r="AD9" i="30"/>
  <c r="H15" i="30" l="1" a="1"/>
  <c r="H15" i="30" s="1"/>
  <c r="H14" i="30" a="1"/>
  <c r="H14" i="30" s="1"/>
  <c r="H13" i="30" a="1"/>
  <c r="H13" i="30" s="1"/>
  <c r="H12" i="30" a="1"/>
  <c r="H12" i="30" s="1"/>
  <c r="H11" i="30" a="1"/>
  <c r="H11" i="30" s="1"/>
  <c r="AA15" i="30"/>
  <c r="AA14" i="30"/>
  <c r="AA13" i="30"/>
  <c r="AA12" i="30"/>
  <c r="AA11" i="30"/>
  <c r="AA10" i="30"/>
  <c r="Z15" i="30"/>
  <c r="Z14" i="30"/>
  <c r="Z13" i="30"/>
  <c r="Z12" i="30"/>
  <c r="Z11" i="30"/>
  <c r="Z10" i="30"/>
  <c r="Y15" i="30"/>
  <c r="Y14" i="30"/>
  <c r="Y13" i="30"/>
  <c r="Y12" i="30"/>
  <c r="Y11" i="30"/>
  <c r="Y10" i="30"/>
  <c r="AA9" i="30"/>
  <c r="Z9" i="30"/>
  <c r="Y9" i="30"/>
  <c r="R12" i="30" l="1"/>
  <c r="R11" i="30"/>
  <c r="R14" i="30"/>
  <c r="R10" i="30"/>
  <c r="R15" i="30"/>
  <c r="R13" i="30"/>
  <c r="R9" i="30"/>
  <c r="R16" i="30" l="1"/>
  <c r="L15" i="30"/>
  <c r="L14" i="30"/>
  <c r="L13" i="30"/>
  <c r="L12" i="30"/>
  <c r="L11" i="30"/>
  <c r="I15" i="30"/>
  <c r="Q15" i="30" s="1"/>
  <c r="I14" i="30"/>
  <c r="Q14" i="30" s="1"/>
  <c r="I13" i="30"/>
  <c r="Q13" i="30" s="1"/>
  <c r="I12" i="30"/>
  <c r="Q12" i="30" s="1"/>
  <c r="I11" i="30"/>
  <c r="Q11" i="30" s="1"/>
  <c r="L10" i="30" l="1"/>
  <c r="I10" i="30"/>
  <c r="Q10" i="30" s="1"/>
  <c r="L9" i="30"/>
  <c r="I9" i="30"/>
  <c r="Q9" i="30" s="1"/>
  <c r="L16" i="30" l="1"/>
  <c r="I16" i="30"/>
  <c r="Q16" i="30" l="1"/>
  <c r="C2" i="30" l="1"/>
  <c r="B9" i="30" s="1"/>
  <c r="D9" i="30" s="1"/>
  <c r="H16" i="30" l="1"/>
  <c r="B10" i="30"/>
  <c r="D10" i="30" s="1"/>
  <c r="B11" i="30" l="1"/>
  <c r="D11" i="30" s="1"/>
  <c r="B12" i="30" l="1"/>
  <c r="D12" i="30" s="1"/>
  <c r="B13" i="30" l="1"/>
  <c r="D13" i="30" s="1"/>
  <c r="B14" i="30" l="1"/>
  <c r="D14" i="30" s="1"/>
  <c r="B15" i="30" l="1"/>
  <c r="D15" i="3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Daumantas Kudžma</author>
  </authors>
  <commentList>
    <comment ref="AC1" authorId="0" shapeId="0" xr:uid="{E698B9F6-A0A9-40C9-9E47-4EAD8CF033AC}">
      <text>
        <r>
          <rPr>
            <b/>
            <sz val="9"/>
            <color indexed="81"/>
            <rFont val="Tahoma"/>
            <family val="2"/>
            <charset val="186"/>
          </rPr>
          <t>Daumantas Kudžma:</t>
        </r>
        <r>
          <rPr>
            <sz val="9"/>
            <color indexed="81"/>
            <rFont val="Tahoma"/>
            <family val="2"/>
            <charset val="186"/>
          </rPr>
          <t xml:space="preserve">
2, 2+, 3, 3+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0F464E-3AA3-4DCB-98E7-E4814C90CA35}" keepAlive="1" name="Query - bill_of_materials" description="Connection to the 'bill_of_materials' query in the workbook." type="5" refreshedVersion="8" saveData="1">
    <dbPr connection="Provider=Microsoft.Mashup.OleDb.1;Data Source=$Workbook$;Location=bill_of_materials;Extended Properties=&quot;&quot;" command="SELECT * FROM [bill_of_materials]"/>
  </connection>
  <connection id="2" xr16:uid="{CE29BAC6-7763-4534-9538-DB68B9515B39}" keepAlive="1" name="Query - bom_rebar_cage_vdrd" description="Connection to the 'bom_rebar_cage_vdrd' query in the workbook." type="5" refreshedVersion="0" saveData="1">
    <dbPr connection="Provider=Microsoft.Mashup.OleDb.1;Data Source=$Workbook$;Location=bom_rebar_cage_vdrd;Extended Properties=&quot;&quot;" command="SELECT * FROM [bom_rebar_cage_vdrd]"/>
  </connection>
  <connection id="3" xr16:uid="{612307C9-099A-48E3-89FA-B8FF471D2277}" keepAlive="1" name="Query - product" description="Connection to the 'product' query in the workbook." type="5" refreshedVersion="8" saveData="1">
    <dbPr connection="Provider=Microsoft.Mashup.OleDb.1;Data Source=$Workbook$;Location=product;Extended Properties=&quot;&quot;" command="SELECT * FROM [product]"/>
  </connection>
  <connection id="4" xr16:uid="{DC2CD5BA-F826-4FE9-8708-5BD0D068C902}" keepAlive="1" name="Query - table_gaminiu_grupes" description="Connection to the 'table_gaminiu_grupes' query in the workbook." type="5" refreshedVersion="0" saveData="1">
    <dbPr connection="Provider=Microsoft.Mashup.OleDb.1;Data Source=$Workbook$;Location=table_gaminiu_grupes;Extended Properties=&quot;&quot;" command="SELECT * FROM [table_gaminiu_grupes]"/>
  </connection>
  <connection id="5" xr16:uid="{4E0CBBFB-54B6-4756-80B5-19D16EAF3285}" keepAlive="1" name="Query - table_gaminiu_grupes(1)" description="Connection to the 'table_gaminiu_grupes' query in the workbook." type="5" refreshedVersion="8" saveData="1">
    <dbPr connection="Provider=Microsoft.Mashup.OleDb.1;Data Source=$Workbook$;Location=table_gaminiu_grupes;Extended Properties=&quot;&quot;" command="SELECT * FROM [table_gaminiu_grupes]"/>
  </connection>
  <connection id="6" xr16:uid="{22D5FFCB-0637-4D63-B8B1-79E21C0C1287}" keepAlive="1" name="Query - table_nedarbo_dienos" description="Connection to the 'table_nedarbo_dienos' query in the workbook." type="5" refreshedVersion="8" saveData="1">
    <dbPr connection="Provider=Microsoft.Mashup.OleDb.1;Data Source=$Workbook$;Location=table_nedarbo_dienos;Extended Properties=&quot;&quot;" command="SELECT * FROM [table_nedarbo_dienos]"/>
  </connection>
</connections>
</file>

<file path=xl/sharedStrings.xml><?xml version="1.0" encoding="utf-8"?>
<sst xmlns="http://schemas.openxmlformats.org/spreadsheetml/2006/main" count="6603" uniqueCount="869">
  <si>
    <t>Parametras</t>
  </si>
  <si>
    <t>Reikšmė</t>
  </si>
  <si>
    <t>breziniu folderis</t>
  </si>
  <si>
    <t>Savaites diena</t>
  </si>
  <si>
    <t>Planuojama užpylimo data</t>
  </si>
  <si>
    <t>Faktinė užpylimo data</t>
  </si>
  <si>
    <t>Planuojama gamybos data</t>
  </si>
  <si>
    <t>Faktinė gamybos data</t>
  </si>
  <si>
    <t>Užsakymo Nr.</t>
  </si>
  <si>
    <t>Gaminio pavadinimas</t>
  </si>
  <si>
    <t>Kiekis</t>
  </si>
  <si>
    <t>Pastabos</t>
  </si>
  <si>
    <t>stalo ilgis (mm)</t>
  </si>
  <si>
    <t>stalo plotis (mm)</t>
  </si>
  <si>
    <t>stalo aukstis (mm)</t>
  </si>
  <si>
    <t>tarpas tarp gaminiu (mm)</t>
  </si>
  <si>
    <t>Kompl. nr.</t>
  </si>
  <si>
    <t>Plotas</t>
  </si>
  <si>
    <t>Užkrautumo %</t>
  </si>
  <si>
    <t>Armavimo laikas</t>
  </si>
  <si>
    <t>Klojinio laikas</t>
  </si>
  <si>
    <t>Matricos laikas</t>
  </si>
  <si>
    <t>Užkr. %</t>
  </si>
  <si>
    <t>Pirmadienis</t>
  </si>
  <si>
    <t>data</t>
  </si>
  <si>
    <t>sav. diena</t>
  </si>
  <si>
    <t>pavadinimas</t>
  </si>
  <si>
    <t>Žolinės</t>
  </si>
  <si>
    <t>Visų šventųjų diena</t>
  </si>
  <si>
    <t>Kūčios</t>
  </si>
  <si>
    <t>Kalėdos</t>
  </si>
  <si>
    <t>Kalėdos (antra diena)</t>
  </si>
  <si>
    <t>Naujieji metai</t>
  </si>
  <si>
    <t>Antradienis</t>
  </si>
  <si>
    <t>GUID</t>
  </si>
  <si>
    <r>
      <t>Plotas (m</t>
    </r>
    <r>
      <rPr>
        <vertAlign val="superscript"/>
        <sz val="10"/>
        <rFont val="Calibri"/>
        <family val="2"/>
        <charset val="186"/>
        <scheme val="minor"/>
      </rPr>
      <t>2</t>
    </r>
    <r>
      <rPr>
        <sz val="10"/>
        <rFont val="Calibri"/>
        <family val="2"/>
        <charset val="186"/>
        <scheme val="minor"/>
      </rPr>
      <t>)</t>
    </r>
  </si>
  <si>
    <t>spalva</t>
  </si>
  <si>
    <t>Komplekto nr.</t>
  </si>
  <si>
    <t>Pos</t>
  </si>
  <si>
    <t>Aukstis (mm)</t>
  </si>
  <si>
    <t>Ilgis (mm)</t>
  </si>
  <si>
    <t>Svoris (kg)</t>
  </si>
  <si>
    <t>MK</t>
  </si>
  <si>
    <t>Mont. eil.</t>
  </si>
  <si>
    <t>Brez. data</t>
  </si>
  <si>
    <t>Projektavimo pastabos</t>
  </si>
  <si>
    <t>Pakrov. data</t>
  </si>
  <si>
    <t>Yra plane</t>
  </si>
  <si>
    <t>Užsakymas</t>
  </si>
  <si>
    <t>Gaminių grupė</t>
  </si>
  <si>
    <t>Trečiadienis</t>
  </si>
  <si>
    <t>Sekmadienis</t>
  </si>
  <si>
    <t>Šeštadienis</t>
  </si>
  <si>
    <t>Penktadienis</t>
  </si>
  <si>
    <t>Ketvirtadienis</t>
  </si>
  <si>
    <t>Plotis (mm)</t>
  </si>
  <si>
    <t>S1</t>
  </si>
  <si>
    <t>S3</t>
  </si>
  <si>
    <t>OPENING AREA</t>
  </si>
  <si>
    <t>CUT NUMBER</t>
  </si>
  <si>
    <t>d. j. suma</t>
  </si>
  <si>
    <t>dj folderis</t>
  </si>
  <si>
    <t>pvf folderis</t>
  </si>
  <si>
    <t>rebar folderis</t>
  </si>
  <si>
    <t>R</t>
  </si>
  <si>
    <t>AN</t>
  </si>
  <si>
    <t>Ilgis</t>
  </si>
  <si>
    <t>Gembė (šone)</t>
  </si>
  <si>
    <t>Gembė (viršuje)</t>
  </si>
  <si>
    <t>Gembė (apačioje)</t>
  </si>
  <si>
    <t>RT</t>
  </si>
  <si>
    <t>d. j. armav.</t>
  </si>
  <si>
    <t>d. j. klojin.</t>
  </si>
  <si>
    <t>d. j. matric.</t>
  </si>
  <si>
    <t>d. j. uzpyl.</t>
  </si>
  <si>
    <t>d. j. isform.</t>
  </si>
  <si>
    <t>Užpylimo laikas</t>
  </si>
  <si>
    <t>Išformavimo laikas</t>
  </si>
  <si>
    <t>Sudėtingumo koef.</t>
  </si>
  <si>
    <t>RU</t>
  </si>
  <si>
    <t>RW</t>
  </si>
  <si>
    <t>RX</t>
  </si>
  <si>
    <t>RAZ</t>
  </si>
  <si>
    <t>RAW</t>
  </si>
  <si>
    <t>AX KODAS</t>
  </si>
  <si>
    <t>RAB</t>
  </si>
  <si>
    <t>RAC</t>
  </si>
  <si>
    <t>RAE</t>
  </si>
  <si>
    <t>RAF</t>
  </si>
  <si>
    <t>RAH</t>
  </si>
  <si>
    <t>RAI</t>
  </si>
  <si>
    <t>RAJ</t>
  </si>
  <si>
    <t>RAK</t>
  </si>
  <si>
    <t>RAL</t>
  </si>
  <si>
    <t>RAM</t>
  </si>
  <si>
    <t>RAN</t>
  </si>
  <si>
    <t>RAO</t>
  </si>
  <si>
    <t>RAP</t>
  </si>
  <si>
    <t>RAQ</t>
  </si>
  <si>
    <t>RAS</t>
  </si>
  <si>
    <t>RAU</t>
  </si>
  <si>
    <t>AREA</t>
  </si>
  <si>
    <t>Suminis gam. laikas</t>
  </si>
  <si>
    <t>Tūris</t>
  </si>
  <si>
    <t>RO</t>
  </si>
  <si>
    <t>RAR</t>
  </si>
  <si>
    <t>RAT</t>
  </si>
  <si>
    <t>RAV</t>
  </si>
  <si>
    <t>RAX</t>
  </si>
  <si>
    <t>PERKELTA I PLANA</t>
  </si>
  <si>
    <r>
      <t>Tūris (m</t>
    </r>
    <r>
      <rPr>
        <vertAlign val="superscript"/>
        <sz val="10"/>
        <rFont val="Calibri"/>
        <family val="2"/>
        <charset val="186"/>
        <scheme val="minor"/>
      </rPr>
      <t>3</t>
    </r>
    <r>
      <rPr>
        <sz val="10"/>
        <rFont val="Calibri"/>
        <family val="2"/>
        <charset val="186"/>
        <scheme val="minor"/>
      </rPr>
      <t>)</t>
    </r>
  </si>
  <si>
    <t>Ilga/trumpa linija (1/0)</t>
  </si>
  <si>
    <t>T</t>
  </si>
  <si>
    <t>Gam. kiekis linijoj</t>
  </si>
  <si>
    <t>Elemeto Nr.</t>
  </si>
  <si>
    <t>Lapas "planas"</t>
  </si>
  <si>
    <t>Laukelyje B3 pasirinkti liniją.</t>
  </si>
  <si>
    <t>Lapai "XX kriterijai"</t>
  </si>
  <si>
    <t>Šiuose lapuose nustatomi darbo jėgos poreikio parametrai.</t>
  </si>
  <si>
    <t>Lapas "nustatytma"</t>
  </si>
  <si>
    <t>Šiame lape nustatomi bendri nustatymai:</t>
  </si>
  <si>
    <t>stalo parametrai;</t>
  </si>
  <si>
    <t>"pvf folderis" - kur laikomi GPS PVF excel failai;</t>
  </si>
  <si>
    <t>"rebar folderis" - kur laikomos Tekla rebar ataskaitos.</t>
  </si>
  <si>
    <t>Lapas "n-projektai"</t>
  </si>
  <si>
    <t>Šiame lape projektų nustaymai.</t>
  </si>
  <si>
    <t>Excel PVF "Gamybos pastabos 2" stulpelio pildymas</t>
  </si>
  <si>
    <t>prie kolonų įvesti gembių šone, apačioje ir viršuje informaciją: "G1/1/1";</t>
  </si>
  <si>
    <t>prie rygelių ir MS įvesti ilgos (1) / trumpos (0) linijos informaciją ir gaminių kiekį linijoje: "L1/7";</t>
  </si>
  <si>
    <t>pvf folderis X</t>
  </si>
  <si>
    <t>e-mail derinimui tema</t>
  </si>
  <si>
    <t>e-mail derinimui tekstas</t>
  </si>
  <si>
    <t>e-mail derinimui to</t>
  </si>
  <si>
    <t>e-mail derinimui cc</t>
  </si>
  <si>
    <t>e-mail derinimui bcc</t>
  </si>
  <si>
    <t>VS-32</t>
  </si>
  <si>
    <t>VS-38</t>
  </si>
  <si>
    <t>VS-51</t>
  </si>
  <si>
    <t>VS-82</t>
  </si>
  <si>
    <t>VS-104</t>
  </si>
  <si>
    <t>VS-108</t>
  </si>
  <si>
    <t>VS-3</t>
  </si>
  <si>
    <t>VS-5</t>
  </si>
  <si>
    <t>VS-18</t>
  </si>
  <si>
    <t>VS-19</t>
  </si>
  <si>
    <t>VS-23</t>
  </si>
  <si>
    <t>VS-27</t>
  </si>
  <si>
    <t>VS-28</t>
  </si>
  <si>
    <t>VS-60</t>
  </si>
  <si>
    <t>VS-54</t>
  </si>
  <si>
    <t>VS-59</t>
  </si>
  <si>
    <t>VS-61</t>
  </si>
  <si>
    <t>VS-62</t>
  </si>
  <si>
    <t>VS-66</t>
  </si>
  <si>
    <t>VS-68</t>
  </si>
  <si>
    <t>VS-71</t>
  </si>
  <si>
    <t>VS-77</t>
  </si>
  <si>
    <t>VS-84</t>
  </si>
  <si>
    <t>VS-85</t>
  </si>
  <si>
    <t>VS-87</t>
  </si>
  <si>
    <t>VS-95</t>
  </si>
  <si>
    <t>Lietuvos Valstybės atkūrimo diena</t>
  </si>
  <si>
    <t>Nepriklausomybės atkūrimo diena</t>
  </si>
  <si>
    <t>Velykos</t>
  </si>
  <si>
    <t>Velykų antroji diena</t>
  </si>
  <si>
    <t>Tarptautinė darbo diena</t>
  </si>
  <si>
    <t>Joninės</t>
  </si>
  <si>
    <t>Karaliaus Mindaugo karūnavimo diena</t>
  </si>
  <si>
    <t>Žolinė</t>
  </si>
  <si>
    <t>Šv. Kūčios</t>
  </si>
  <si>
    <t>Šv. Kalėdos</t>
  </si>
  <si>
    <t>Šv. Kalėdų antroji diena</t>
  </si>
  <si>
    <t>Motinos diena</t>
  </si>
  <si>
    <t>Tėvo diena</t>
  </si>
  <si>
    <t>BETONO KLASE</t>
  </si>
  <si>
    <t>GUID DUB</t>
  </si>
  <si>
    <t>VS-86</t>
  </si>
  <si>
    <t>Karkaso paruošimo data</t>
  </si>
  <si>
    <t>2-3 linija</t>
  </si>
  <si>
    <t>LAST</t>
  </si>
  <si>
    <t>RAY</t>
  </si>
  <si>
    <t>RBB</t>
  </si>
  <si>
    <t>VS-56</t>
  </si>
  <si>
    <t>VS-46</t>
  </si>
  <si>
    <t>VS-113</t>
  </si>
  <si>
    <t>VS-115</t>
  </si>
  <si>
    <t>VS-81</t>
  </si>
  <si>
    <t>VS-135</t>
  </si>
  <si>
    <t>Etapas</t>
  </si>
  <si>
    <t>Aukštas</t>
  </si>
  <si>
    <t>Stalo pavadinimas</t>
  </si>
  <si>
    <t>stalu kiekis</t>
  </si>
  <si>
    <t>stalo pavadinimas</t>
  </si>
  <si>
    <t>VS-50</t>
  </si>
  <si>
    <t>VS-49</t>
  </si>
  <si>
    <t>VS-124</t>
  </si>
  <si>
    <t>VS-136</t>
  </si>
  <si>
    <t>VS-47</t>
  </si>
  <si>
    <t>VS-122</t>
  </si>
  <si>
    <t>VS-52</t>
  </si>
  <si>
    <t>VS-63</t>
  </si>
  <si>
    <t>VS-7</t>
  </si>
  <si>
    <t>VS-12</t>
  </si>
  <si>
    <t>VS-102</t>
  </si>
  <si>
    <t>VS-44</t>
  </si>
  <si>
    <t>VS-83</t>
  </si>
  <si>
    <t>VS-88</t>
  </si>
  <si>
    <t>VS-30</t>
  </si>
  <si>
    <t>VS-41</t>
  </si>
  <si>
    <t>VS-110</t>
  </si>
  <si>
    <t>VS-25</t>
  </si>
  <si>
    <t>VS-45</t>
  </si>
  <si>
    <t>VS-92</t>
  </si>
  <si>
    <t>VS-93</t>
  </si>
  <si>
    <t>VS-118</t>
  </si>
  <si>
    <t>VS-98</t>
  </si>
  <si>
    <t>VS-125</t>
  </si>
  <si>
    <t>VS-121</t>
  </si>
  <si>
    <t>VS-69</t>
  </si>
  <si>
    <t>VS-20</t>
  </si>
  <si>
    <t>VS-65</t>
  </si>
  <si>
    <t>VS-94</t>
  </si>
  <si>
    <t>VS-55</t>
  </si>
  <si>
    <t>VS-109</t>
  </si>
  <si>
    <t>VS-112</t>
  </si>
  <si>
    <t>VS-89</t>
  </si>
  <si>
    <t>VS-258</t>
  </si>
  <si>
    <t>VS-22</t>
  </si>
  <si>
    <t>VS-33</t>
  </si>
  <si>
    <t>VS-26</t>
  </si>
  <si>
    <t>VS-40</t>
  </si>
  <si>
    <t>VS-31</t>
  </si>
  <si>
    <t>VS-34</t>
  </si>
  <si>
    <t>VS-35</t>
  </si>
  <si>
    <t>Karkasų kiekis</t>
  </si>
  <si>
    <t>Metalo masė [kg]</t>
  </si>
  <si>
    <t>\\192.168.100.121\Gamybos_padalinys\Tekla raportai\</t>
  </si>
  <si>
    <t>3 linija</t>
  </si>
  <si>
    <t>tarpas apacia (mm)</t>
  </si>
  <si>
    <t>tarpas virsus (mm)</t>
  </si>
  <si>
    <t>tarpas desine (mm)</t>
  </si>
  <si>
    <t>tarpas kaire (mm)</t>
  </si>
  <si>
    <t>2 linija</t>
  </si>
  <si>
    <t>\\ma1\Gamybos_padalinys\Gamybos_planavimo_skyrius\Gamyba\</t>
  </si>
  <si>
    <t>\\ma1\Gamybos_padalinys\Tekla raportai\</t>
  </si>
  <si>
    <t>\\ma1\Gamybos_padalinys\Gamybos_planavimo_skyrius\TEKLA PVF\</t>
  </si>
  <si>
    <t>3 linija +</t>
  </si>
  <si>
    <t>VS-288</t>
  </si>
  <si>
    <t>LINIJA</t>
  </si>
  <si>
    <t>2 linija +</t>
  </si>
  <si>
    <t>Laba diena,
Siunčiu 2-3 linijos X savaitės grafiką derinimui</t>
  </si>
  <si>
    <t>2-3 linijos x savaitės grafikas derinimui</t>
  </si>
  <si>
    <t>Stalo NR.</t>
  </si>
  <si>
    <t>e.grigonis@inhus.eu; a.korkut@inhus.eu;</t>
  </si>
  <si>
    <t>VS-72</t>
  </si>
  <si>
    <t>VS-67</t>
  </si>
  <si>
    <t>VS-212</t>
  </si>
  <si>
    <t>VS-57</t>
  </si>
  <si>
    <t>VS-78</t>
  </si>
  <si>
    <t>VS-43</t>
  </si>
  <si>
    <t>VS-64</t>
  </si>
  <si>
    <t>VS-99</t>
  </si>
  <si>
    <t>VS-289</t>
  </si>
  <si>
    <t>VS-79</t>
  </si>
  <si>
    <t>VS-120</t>
  </si>
  <si>
    <t>VS-73</t>
  </si>
  <si>
    <t>VS-219</t>
  </si>
  <si>
    <t>VS-70</t>
  </si>
  <si>
    <t>VS-106</t>
  </si>
  <si>
    <t>VS-97</t>
  </si>
  <si>
    <t>VS-75</t>
  </si>
  <si>
    <t>VS-287</t>
  </si>
  <si>
    <t>VS-16</t>
  </si>
  <si>
    <t>VS-80</t>
  </si>
  <si>
    <t>VS-58</t>
  </si>
  <si>
    <t>VS-74</t>
  </si>
  <si>
    <t>VS-218</t>
  </si>
  <si>
    <t>C30/37,XC1</t>
  </si>
  <si>
    <t>KP</t>
  </si>
  <si>
    <t>max leistinas svoris (kg)</t>
  </si>
  <si>
    <t>207T</t>
  </si>
  <si>
    <t>1PS-13</t>
  </si>
  <si>
    <t>1PS-19</t>
  </si>
  <si>
    <t>1PS-14</t>
  </si>
  <si>
    <t>1PS-26</t>
  </si>
  <si>
    <t>1PS-23</t>
  </si>
  <si>
    <t>1PS-24</t>
  </si>
  <si>
    <t>1PS-20</t>
  </si>
  <si>
    <t>1PS-25</t>
  </si>
  <si>
    <t>1PS-21</t>
  </si>
  <si>
    <t>1PS-28</t>
  </si>
  <si>
    <t>1PS-22</t>
  </si>
  <si>
    <t>1PS-27</t>
  </si>
  <si>
    <t>C40/50,XC1</t>
  </si>
  <si>
    <t>21-0025-LAJOS-III</t>
  </si>
  <si>
    <t>3LS-1</t>
  </si>
  <si>
    <t>3LS-3</t>
  </si>
  <si>
    <t>3LS-4</t>
  </si>
  <si>
    <t>3LS-5</t>
  </si>
  <si>
    <t>3LS-6</t>
  </si>
  <si>
    <t>3LS-7</t>
  </si>
  <si>
    <t>3LS-8</t>
  </si>
  <si>
    <t>3LS-9</t>
  </si>
  <si>
    <t>3LS-10</t>
  </si>
  <si>
    <t>3LS-11</t>
  </si>
  <si>
    <t>3LS-12</t>
  </si>
  <si>
    <t>3LS-13</t>
  </si>
  <si>
    <t>3LS-16</t>
  </si>
  <si>
    <t>3LS-17</t>
  </si>
  <si>
    <t>3LS-18</t>
  </si>
  <si>
    <t>3LS-19</t>
  </si>
  <si>
    <t>3LS-20</t>
  </si>
  <si>
    <t>3LS-21</t>
  </si>
  <si>
    <t>3LS-22</t>
  </si>
  <si>
    <t>3LS-23</t>
  </si>
  <si>
    <t>3LS-30</t>
  </si>
  <si>
    <t>3LS-33</t>
  </si>
  <si>
    <t>3LS-34</t>
  </si>
  <si>
    <t>3LS-35</t>
  </si>
  <si>
    <t>3LS-36</t>
  </si>
  <si>
    <t>3LS-37</t>
  </si>
  <si>
    <t>3LS-38</t>
  </si>
  <si>
    <t>3LS-39</t>
  </si>
  <si>
    <t>3LS-40</t>
  </si>
  <si>
    <t>3LS-41</t>
  </si>
  <si>
    <t>3LS-42</t>
  </si>
  <si>
    <t>3LS-45</t>
  </si>
  <si>
    <t>3LS-46</t>
  </si>
  <si>
    <t>3LS-47</t>
  </si>
  <si>
    <t>3LS-49</t>
  </si>
  <si>
    <t>3LS-53</t>
  </si>
  <si>
    <t>3LS-55</t>
  </si>
  <si>
    <t>3LS-57</t>
  </si>
  <si>
    <t>3LS-58</t>
  </si>
  <si>
    <t>3LS-59</t>
  </si>
  <si>
    <t>3LS-68</t>
  </si>
  <si>
    <t>3LS-69</t>
  </si>
  <si>
    <t>3LS-70</t>
  </si>
  <si>
    <t>3LS-71</t>
  </si>
  <si>
    <t>3LS-74</t>
  </si>
  <si>
    <t>3LS-75</t>
  </si>
  <si>
    <t>3LS-76</t>
  </si>
  <si>
    <t>3LS-77</t>
  </si>
  <si>
    <t>3LS-97</t>
  </si>
  <si>
    <t>3LS-80</t>
  </si>
  <si>
    <t>3LS-89</t>
  </si>
  <si>
    <t>3LS-92</t>
  </si>
  <si>
    <t>3LS-109</t>
  </si>
  <si>
    <t>MX+KP</t>
  </si>
  <si>
    <t>MX</t>
  </si>
  <si>
    <t>C50/60,XC1</t>
  </si>
  <si>
    <t>3LS-161</t>
  </si>
  <si>
    <t>3LS-160</t>
  </si>
  <si>
    <t>3LS-224</t>
  </si>
  <si>
    <t>3LS-157</t>
  </si>
  <si>
    <t>3LS-165</t>
  </si>
  <si>
    <t>3LS-248</t>
  </si>
  <si>
    <t>0aefccda-1cda-4ce1-a481-0962bb60d05a</t>
  </si>
  <si>
    <t>117f71c2-7a0d-47e7-843b-490bc2119754</t>
  </si>
  <si>
    <t>C30/37,XC3+XF1</t>
  </si>
  <si>
    <t>195e18c1-71b8-4a4e-bd60-9c5dd77278f3</t>
  </si>
  <si>
    <t>3bb6f07c-3be7-4338-984c-212341edb2aa</t>
  </si>
  <si>
    <t>401d9f62-3f00-4dce-8b5d-8eb2d44ad09a</t>
  </si>
  <si>
    <t>1PS-15</t>
  </si>
  <si>
    <t>60ad1885-882a-4953-ae06-d1aea365d025</t>
  </si>
  <si>
    <t>64e9b5ed-0207-4eb0-82bc-878d48ef3c78</t>
  </si>
  <si>
    <t>1PS-18</t>
  </si>
  <si>
    <t>6cf7da6a-b51f-45dd-837a-8b363803b8a5</t>
  </si>
  <si>
    <t>720a4115-4a2d-4794-a4b5-ba1ce5b5d040</t>
  </si>
  <si>
    <t>733e2ef4-e955-43cc-bb1f-10a6f655f562</t>
  </si>
  <si>
    <t>74ec66b1-0435-4fd9-baaf-f238caa72523</t>
  </si>
  <si>
    <t>1PS-89</t>
  </si>
  <si>
    <t>3LS-177</t>
  </si>
  <si>
    <t>1PS-81</t>
  </si>
  <si>
    <t>1PS-78</t>
  </si>
  <si>
    <t>3LS-246</t>
  </si>
  <si>
    <t>3LS-179</t>
  </si>
  <si>
    <t>aeb00096-8ae9-4bcc-b3a7-dce3287c3906</t>
  </si>
  <si>
    <t>3LS-253</t>
  </si>
  <si>
    <t>3LS-171</t>
  </si>
  <si>
    <t>1PS-92</t>
  </si>
  <si>
    <t>c958e78b-150e-4e4d-bfd0-f9de46d76f7a</t>
  </si>
  <si>
    <t>cc5ec022-3b1b-48f4-8f5c-77426eb413c7</t>
  </si>
  <si>
    <t>3LS-199</t>
  </si>
  <si>
    <t>3LS-180</t>
  </si>
  <si>
    <t>d2e1dd57-e423-4920-b763-79bd56317513</t>
  </si>
  <si>
    <t>eb260e2e-3325-4e0c-b00f-5090e5d3d267</t>
  </si>
  <si>
    <t>1PS-91</t>
  </si>
  <si>
    <t>1PS-90</t>
  </si>
  <si>
    <t>039967ec-75c1-4269-bd5a-1a1f679960ab</t>
  </si>
  <si>
    <t>03d6b082-401f-48e6-8c43-39d641f4f09f</t>
  </si>
  <si>
    <t>048f91ae-49fb-47fc-b481-ea0fc0d30a96</t>
  </si>
  <si>
    <t>04a6d007-e5ae-4c3c-aeea-65439ac243bd</t>
  </si>
  <si>
    <t>059767a9-8ad0-4037-849e-4363e6a25e55</t>
  </si>
  <si>
    <t>05e4ecb9-70e0-4b90-8475-45d6fb80da76</t>
  </si>
  <si>
    <t>0c92ce21-550d-49f1-a0e8-75f2e4d0cfe0</t>
  </si>
  <si>
    <t>0ebd7917-afc3-4a20-8ebd-ef94a0eebf00</t>
  </si>
  <si>
    <t>104b8c5f-cd99-4c0d-beec-6015ba2245d7</t>
  </si>
  <si>
    <t>14c69f0e-df8d-40c4-81da-30d8865409a0</t>
  </si>
  <si>
    <t>15b35862-565b-4ca9-8f86-0ea8b5bc4fdd</t>
  </si>
  <si>
    <t>16737380-d90d-4136-bba7-02b8681a1a28</t>
  </si>
  <si>
    <t>1768edcf-fe3c-4bbd-8922-bdd21d082b51</t>
  </si>
  <si>
    <t>190f1def-1d52-433f-b7e7-1716e21c0b31</t>
  </si>
  <si>
    <t>1a202a42-7c06-4dd5-b989-a41bd3bb2bb7</t>
  </si>
  <si>
    <t>1d4791fe-b469-4f2c-901f-1555aae582af</t>
  </si>
  <si>
    <t>250088f3-0951-4529-8210-0c21ac0ddb99</t>
  </si>
  <si>
    <t>2b707779-adb5-46bb-b19f-f26f2b33bf7e</t>
  </si>
  <si>
    <t>2ce889b2-5c80-4765-81d2-a23baf601c5c</t>
  </si>
  <si>
    <t>2e24bdbc-ec57-44fc-9f0b-37afc7a86434</t>
  </si>
  <si>
    <t>312794bb-0b75-4cc4-a011-56c17fcebad8</t>
  </si>
  <si>
    <t>328f9fe3-e6d8-42a7-a66a-991bd65e1bc0</t>
  </si>
  <si>
    <t>3c123b2b-4a5b-43e6-9a2e-80a59fce3313</t>
  </si>
  <si>
    <t>3d8b9a60-81f1-478f-8d9a-2c9c701f150b</t>
  </si>
  <si>
    <t>40310e4d-ace7-49d5-bdd1-dac307afe352</t>
  </si>
  <si>
    <t>45f8891e-aabb-4a7f-bbf2-bd0f653315b7</t>
  </si>
  <si>
    <t>469dae7e-8612-418a-b800-e62996f33423</t>
  </si>
  <si>
    <t>48aef99d-278b-466b-81f1-90e3e5cca987</t>
  </si>
  <si>
    <t>49147c1e-52b8-45e9-b6b2-bc0e481b69ff</t>
  </si>
  <si>
    <t>4d8abc47-4815-4113-b490-ee0343aa5d9f</t>
  </si>
  <si>
    <t>4f708c78-d87f-420e-8df0-06888defbeb1</t>
  </si>
  <si>
    <t>510dfb48-7376-4ea9-8255-f5fb51d63ba2</t>
  </si>
  <si>
    <t>5263b8d9-3bd4-4b5d-b441-fb567cb73c39</t>
  </si>
  <si>
    <t>536d97f8-3aff-4ddc-87d0-643536b4157b</t>
  </si>
  <si>
    <t>54095ec5-dbee-4f4e-a506-66e35f3f0981</t>
  </si>
  <si>
    <t>54c2b28d-7f95-4fbc-9b34-3cf4a2ee2f93</t>
  </si>
  <si>
    <t>55dc7315-717e-4469-bee2-e8628d5bc43a</t>
  </si>
  <si>
    <t>5ae3f776-da63-4c1c-b204-acd321168dfa</t>
  </si>
  <si>
    <t>5b753030-bdd2-405d-b52f-64620329b3e6</t>
  </si>
  <si>
    <t>62a06555-694b-4600-b3ee-fcfd06e5e6bb</t>
  </si>
  <si>
    <t>6c8e201c-9851-4517-9444-f749792d3c09</t>
  </si>
  <si>
    <t>6e5ff854-c87f-4a0a-a9c9-6ff869a892e5</t>
  </si>
  <si>
    <t>6f35f7a1-84fa-4d7d-b5ac-1d7b8a4db2c9</t>
  </si>
  <si>
    <t>6f9bc735-ed20-412b-8c7f-665f24105abd</t>
  </si>
  <si>
    <t>759dbf51-d3d2-4fe2-9c39-59e5632b29aa</t>
  </si>
  <si>
    <t>780ade18-5fcc-43ec-8b14-37327d55ce15</t>
  </si>
  <si>
    <t>78ea8319-ac55-4152-834d-9c54152a26b0</t>
  </si>
  <si>
    <t>7a32974a-c16f-4ca0-b090-d03639668940</t>
  </si>
  <si>
    <t>7cfe5f4b-d8ea-4051-aa68-fde70e7c6588</t>
  </si>
  <si>
    <t>7d77bfbb-a730-465b-92ad-8e02e25533bb</t>
  </si>
  <si>
    <t>7f6a3a1d-6add-43dc-a983-637a6d710c14</t>
  </si>
  <si>
    <t>7fd34a9e-ce6b-4563-959c-2fb4f2cf5a8c</t>
  </si>
  <si>
    <t>86d3e15c-059e-4f7f-a1e2-79b8c2ed0516</t>
  </si>
  <si>
    <t>8982e205-9ec1-4f0a-b489-7d2f85158d41</t>
  </si>
  <si>
    <t>8a37aefd-005a-48c2-a2d7-ab7ffb693e2f</t>
  </si>
  <si>
    <t>8aab8cbd-c390-4db1-9ad2-f8c7b3bc653d</t>
  </si>
  <si>
    <t>8ede7931-9001-4c75-8694-78de7934e61e</t>
  </si>
  <si>
    <t>9123bad7-a5a4-431b-bc20-d94aac83f5fc</t>
  </si>
  <si>
    <t>926426d8-b740-437c-9a59-83810ba50a72</t>
  </si>
  <si>
    <t>969e0091-ad95-4e79-a9db-5dcb86b76494</t>
  </si>
  <si>
    <t>97aacaa1-6ffa-4668-9077-40e3002d1eb5</t>
  </si>
  <si>
    <t>a0c229ea-f852-4794-8ccf-b7a537a896e6</t>
  </si>
  <si>
    <t>a0e80166-a843-4883-bbc8-d23c35073fa0</t>
  </si>
  <si>
    <t>a2b2a068-aa34-4a23-8de5-dc191b4a6042</t>
  </si>
  <si>
    <t>a890366d-a550-4d8e-8992-53a5b3c0fee9</t>
  </si>
  <si>
    <t>ac087b8d-ca17-4790-bc85-476ed84073be</t>
  </si>
  <si>
    <t>acc416d1-10d2-40ad-ada3-768fbf8ec227</t>
  </si>
  <si>
    <t>acf943b1-9f91-45ec-bc60-e58a1a99b155</t>
  </si>
  <si>
    <t>ae6858e1-51b9-41a8-b542-4fc1fc6322df</t>
  </si>
  <si>
    <t>b0234f26-5402-4a5b-9579-f03f15942626</t>
  </si>
  <si>
    <t>b36a2e52-983a-40fd-8006-c4527bcb752b</t>
  </si>
  <si>
    <t>b39cfa5c-1ad1-466d-a67d-0edf3378583a</t>
  </si>
  <si>
    <t>b3a841fd-e7ef-4e8f-a19a-501fe34e8248</t>
  </si>
  <si>
    <t>b556e2cd-09dd-4100-94a5-1d741305669a</t>
  </si>
  <si>
    <t>b7993c6e-1dac-40dd-ab55-084dafa972d2</t>
  </si>
  <si>
    <t>ba058b59-21d8-4c89-836a-603a2cb8279b</t>
  </si>
  <si>
    <t>bbcd965d-dfcf-4750-94ad-f5b81aff8e21</t>
  </si>
  <si>
    <t>c032043d-567c-4cf2-818e-42554dfd550c</t>
  </si>
  <si>
    <t>c091974c-9bba-4a0b-aa3b-795b16d180dd</t>
  </si>
  <si>
    <t>c1eda66e-dd83-4c17-836c-7ad49a72ac13</t>
  </si>
  <si>
    <t>c9cc6b56-b485-4982-8592-2a5a980a3396</t>
  </si>
  <si>
    <t>cc118242-8372-472f-9f86-8195f446ff58</t>
  </si>
  <si>
    <t>cd0775af-55ba-4cb2-a30f-3e95a74fdc22</t>
  </si>
  <si>
    <t>d2aac8ec-e9a7-45bf-8a7e-ae261fd14ebd</t>
  </si>
  <si>
    <t>d6da932d-5436-4ced-b5ff-1d59349e5786</t>
  </si>
  <si>
    <t>dae6e781-2f01-4bf5-93c2-af46e6608fa8</t>
  </si>
  <si>
    <t>dcb506e2-147d-4e8a-b1c6-133e3a3d0d51</t>
  </si>
  <si>
    <t>e8d69fec-ed57-4f1a-8658-682e67a16cee</t>
  </si>
  <si>
    <t>ef792eb1-9442-499d-a156-2381ba15ba07</t>
  </si>
  <si>
    <t>efafb8df-8bce-455c-b0b9-b4cd2327804c</t>
  </si>
  <si>
    <t>f0224c64-e659-4923-8acb-fdf579bc1419</t>
  </si>
  <si>
    <t>f1a15895-3c28-4f24-8fa7-8555e6f5b3cb</t>
  </si>
  <si>
    <t>f2a4201e-0364-4cd3-85df-5786a1c6ed18</t>
  </si>
  <si>
    <t>f45972eb-59eb-4916-a2ea-95df6ba8c4a2</t>
  </si>
  <si>
    <t>f5190c99-4961-4f55-a536-8d8c809feb5f</t>
  </si>
  <si>
    <t>f5a754f9-3bdd-43d1-b8bc-76f4fcd49af8</t>
  </si>
  <si>
    <t>f5b58f3b-b9d1-4be6-a585-534b0222f7a2</t>
  </si>
  <si>
    <t>fd7355a3-b62b-4d09-b34d-e68a8d24143e</t>
  </si>
  <si>
    <t>fdd26523-b648-4bda-bb74-4af7ed5ffe79</t>
  </si>
  <si>
    <t>ff161bba-316d-4ddf-b150-9b5f593206c9</t>
  </si>
  <si>
    <t>c055d8d3-66b8-462f-9613-547624f39fbc</t>
  </si>
  <si>
    <t>3LS-182</t>
  </si>
  <si>
    <t>3LS-193</t>
  </si>
  <si>
    <t>3LS-194</t>
  </si>
  <si>
    <t>25711dc2-5ec1-404f-8d9a-018b512bd0ce</t>
  </si>
  <si>
    <t>350e6a00-1b36-44e6-afb3-a4d79cf6e049</t>
  </si>
  <si>
    <t>3ee55cb2-b05d-4bb0-8826-aaff7c737cf5</t>
  </si>
  <si>
    <t>4e55b19a-e963-4976-860b-2520fc98d05a</t>
  </si>
  <si>
    <t>6e0951cb-aa68-40a3-b25f-9af416621c07</t>
  </si>
  <si>
    <t>6fb7db9c-d4b0-42f3-b6ce-7a7e821c8c6e</t>
  </si>
  <si>
    <t>7dc6d925-1d49-4558-a714-c28e9dbc99bb</t>
  </si>
  <si>
    <t>9691580d-d587-45d9-a35e-5b247464196f</t>
  </si>
  <si>
    <t>9f2c0ad3-5fdb-41fc-8544-3786801551c4</t>
  </si>
  <si>
    <t>a7fa455e-9f1e-46f6-b359-e70389c451ac</t>
  </si>
  <si>
    <t>ab4c1add-a50e-4cc3-b071-497f85860b94</t>
  </si>
  <si>
    <t>f496b558-7021-4214-92c1-315a34c41efb</t>
  </si>
  <si>
    <t>1390939f-6d1d-4bd2-899a-b7cf657eb7f0</t>
  </si>
  <si>
    <t>1ca377d7-8f8f-4e3b-a5b9-c129ea62040f</t>
  </si>
  <si>
    <t>3LS-110</t>
  </si>
  <si>
    <t>1e1fa0e5-1c05-4645-a2e4-7ecd649a46ef</t>
  </si>
  <si>
    <t>2e2148f8-8f03-4dda-8326-d65dbc40523b</t>
  </si>
  <si>
    <t>3LS-116</t>
  </si>
  <si>
    <t>4608f443-adb0-4a0a-aabe-cd9876080b7b</t>
  </si>
  <si>
    <t>3LS-108</t>
  </si>
  <si>
    <t>4d1d8b0f-1c88-430a-a0d1-bd23513720ab</t>
  </si>
  <si>
    <t>52a1b6ec-4c46-44f5-b542-3f042fbea09c</t>
  </si>
  <si>
    <t>62d31752-d698-4d41-8dbb-22f4aaaca2a4</t>
  </si>
  <si>
    <t>3LS-114</t>
  </si>
  <si>
    <t>74c039d3-3f16-4f65-8b78-6a4db5da5256</t>
  </si>
  <si>
    <t>3LS-124</t>
  </si>
  <si>
    <t>7c882c6e-a52f-4b76-b29d-3ac6e90072f6</t>
  </si>
  <si>
    <t>3LS-127</t>
  </si>
  <si>
    <t>898c321f-4b6b-41a5-9cf8-0ca1429792a5</t>
  </si>
  <si>
    <t>8c0b64fa-879c-4d09-bac3-7f6edb560a40</t>
  </si>
  <si>
    <t>90d3cdca-1338-41c8-aee1-e0f23beedad9</t>
  </si>
  <si>
    <t>93b7a522-6a19-4be5-8510-845451e6b2a7</t>
  </si>
  <si>
    <t>a21dffcc-b4ca-4280-a0bf-2d0f2c99138b</t>
  </si>
  <si>
    <t>a72320ac-5100-4895-987f-69aa1a7e0d99</t>
  </si>
  <si>
    <t>a78c66a3-5305-45dd-9b59-82e59a300268</t>
  </si>
  <si>
    <t>a94364a0-376c-44bf-a66a-4fb8f84f86de</t>
  </si>
  <si>
    <t>ac4699b1-aab6-4dfb-9d94-6edc2ce2a273</t>
  </si>
  <si>
    <t>ae02a1e2-5075-441f-b3d6-df49bb38cbf5</t>
  </si>
  <si>
    <t>af75a2b3-becb-4344-b262-f2ff30bfe000</t>
  </si>
  <si>
    <t>b34fa5a7-3266-446e-b7da-7266cec466a9</t>
  </si>
  <si>
    <t>3LS-111</t>
  </si>
  <si>
    <t>b3e43d9f-3f9b-400d-a4d0-cd997d45c228</t>
  </si>
  <si>
    <t>3LS-131</t>
  </si>
  <si>
    <t>bde95824-454d-4e14-97e9-918a5e4b04e6</t>
  </si>
  <si>
    <t>c22cde84-0d55-4ed5-a852-c24df6c981ef</t>
  </si>
  <si>
    <t>d9239645-2046-454b-b1e8-ba36f718d672</t>
  </si>
  <si>
    <t>e05de7e2-96ad-4494-9e18-7b41254eade5</t>
  </si>
  <si>
    <t>e538ce15-5f83-4b83-afc4-d50131a2ec0e</t>
  </si>
  <si>
    <t>3LS-125</t>
  </si>
  <si>
    <t>e6b43f91-5bea-4158-8198-bd5a553fc4a7</t>
  </si>
  <si>
    <t>f1c25506-885d-4977-9a66-f374f8d2c008</t>
  </si>
  <si>
    <t>f4eb8cd1-b60e-4808-81e6-b8e35cbff171</t>
  </si>
  <si>
    <t>3LS-126</t>
  </si>
  <si>
    <t>f57d7fa9-d8f9-4228-bf1a-0fa6604dc7b6</t>
  </si>
  <si>
    <t>3LS-115</t>
  </si>
  <si>
    <t>e530f50f-7037-44a3-82e0-331333604bf4</t>
  </si>
  <si>
    <t>03cdaf61-a475-4f31-9968-5ab38d0c76a4</t>
  </si>
  <si>
    <t>0b17ac1f-29e7-4a6d-8c0a-a0bf7a4c10f4</t>
  </si>
  <si>
    <t>10cdf392-f334-4fc2-95ae-8d67c9af1cb7</t>
  </si>
  <si>
    <t>1a23c49d-1c24-4192-be3d-a83247622794</t>
  </si>
  <si>
    <t>1e33a0c8-6b8a-4705-80f6-2c401b026ac6</t>
  </si>
  <si>
    <t>2a9a2e4e-0744-40ba-924d-1e84bfb7aab4</t>
  </si>
  <si>
    <t>3679eaea-cf0a-4df9-8da1-6bb08236d91f</t>
  </si>
  <si>
    <t>3b8aea78-6b5d-4e63-9cc0-546c46237a96</t>
  </si>
  <si>
    <t>4fe1e450-0ef6-4490-bb4e-ccdff3415581</t>
  </si>
  <si>
    <t>5321fdf9-5c15-4b60-9028-7e525ef2f9c7</t>
  </si>
  <si>
    <t>5928f2ff-cfbc-485a-b7d5-8283a0a98579</t>
  </si>
  <si>
    <t>654bc318-54f2-4d24-aeb5-924ce0fa597b</t>
  </si>
  <si>
    <t>703dc9cf-a10d-4d1c-bea5-de6a28918f49</t>
  </si>
  <si>
    <t>85054c02-67ba-4e16-9a21-de15cf2c207b</t>
  </si>
  <si>
    <t>88750e42-98bd-4077-be1c-27b82c5ac813</t>
  </si>
  <si>
    <t>8b65016c-4e6a-4e77-a865-09b6c88d496d</t>
  </si>
  <si>
    <t>8f7059f6-cd27-4cad-8f11-28efc96f2d3f</t>
  </si>
  <si>
    <t>90ef34c8-e276-414a-bb4e-809a95a09753</t>
  </si>
  <si>
    <t>9195e1cc-b743-4220-a55b-81a255a09852</t>
  </si>
  <si>
    <t>91a274da-3bf1-4731-a890-29e397ade32e</t>
  </si>
  <si>
    <t>932aa049-f74e-4f9f-b17f-88ee48da6dd5</t>
  </si>
  <si>
    <t>932b805d-8628-4ff9-9470-44ddbdb94589</t>
  </si>
  <si>
    <t>98d5b762-f85e-417b-9116-865f79ea4e40</t>
  </si>
  <si>
    <t>9d8ee9e5-c58e-4de2-b7db-d0c3de113258</t>
  </si>
  <si>
    <t>9e8aad85-21fc-48ca-b94d-b9d872821719</t>
  </si>
  <si>
    <t>a436b479-6db2-4239-aaff-8706acdd8efa</t>
  </si>
  <si>
    <t>a89b9f35-1166-4c3b-b497-3ac5b02aa144</t>
  </si>
  <si>
    <t>aabb5484-b54f-4866-a5b0-997756b2c1aa</t>
  </si>
  <si>
    <t>ad43fe09-6732-4fdd-8130-eea2027fa4eb</t>
  </si>
  <si>
    <t>ad65b278-4688-45a0-8149-4d1046d3b0c5</t>
  </si>
  <si>
    <t>b4cdc501-b8a9-41b4-9038-a229dfe597bd</t>
  </si>
  <si>
    <t>bbacb2cd-0b10-4222-8371-699bc77b067f</t>
  </si>
  <si>
    <t>da9cbe3c-161e-428a-9d54-96881d74f51e</t>
  </si>
  <si>
    <t>ebf0d3cd-a156-43fe-82a2-e8e9f408924e</t>
  </si>
  <si>
    <t>f6332d80-3948-487c-bf5d-57f8205edc61</t>
  </si>
  <si>
    <t>C30/37,XC1,XC4+XF1</t>
  </si>
  <si>
    <t>s.parfionov@inhus.eu; d.kudzma@inhus.eu; r.skliuderis@inhus.eu; d.sauliene@inhus.eu; a.rubasauskas@inhus.eu; pv@inhus.eu; a.antanaitis@inhus.eu; i.barisniov@inhus.eu; m.milto@inhus.eu;  a.voitkevic@inhus.eu; 2-3ln.staliai@inhus.eu; Arturas Dmitrijevas &lt;a.dmitrijevas@inhus.eu&gt;; a.orsauskas@inhus.eu;  r.meckovskiene@inhus.eu;  a.goberis@inhus.eu; n.padleckis@inhus.eu; sienos.engineering@inhus.eu; gps@inhus.eu; v.kerul@inhus.eu; a.butkevicius@inhus.eu; bendras.armaturinis@inhus.eu; i.tuleikis@inhus.eu; d.ruskys@inhus.eu;</t>
  </si>
  <si>
    <t>454d7607-dd0d-49e9-9408-87a1e701eb43</t>
  </si>
  <si>
    <t>82ee5630-791d-4de1-9251-e32bac704b0e</t>
  </si>
  <si>
    <t>0caea9f1-ba86-4709-bf79-ed40b2f808d0</t>
  </si>
  <si>
    <t>188cd811-3ab5-4fba-90b7-5bb414ebfe43</t>
  </si>
  <si>
    <t>4ed78024-baa5-4caf-afde-e87c1583debd</t>
  </si>
  <si>
    <t>60834b02-8255-4638-80d9-06c0c7990189</t>
  </si>
  <si>
    <t>aae7e800-4769-4b17-bf69-70e4a71165cd</t>
  </si>
  <si>
    <t>beeb5419-7ede-41fb-9f24-f508aa6319e8</t>
  </si>
  <si>
    <t>dbe10eef-8537-4e55-9cdc-98764303f262</t>
  </si>
  <si>
    <t>f9b9c254-f594-4bf8-a599-becf9c746b53</t>
  </si>
  <si>
    <t>07ab15b6-141d-4b1e-b8ba-67432fd2b6c1</t>
  </si>
  <si>
    <t>1981501e-48e4-47a5-b8ee-1c305b00cdf1</t>
  </si>
  <si>
    <t>3fba9298-0f21-415d-95cc-53092f429d34</t>
  </si>
  <si>
    <t>6e827ffd-a553-49bd-a33d-32341cec033d</t>
  </si>
  <si>
    <t>6fcda7c2-dcc6-4360-aa1f-d62dbace4ac4</t>
  </si>
  <si>
    <t>ea527d57-7b4d-40c2-992f-20ae4092044c</t>
  </si>
  <si>
    <t>f1c88b32-3080-41c3-9fd1-6e42fb904fc4</t>
  </si>
  <si>
    <t>ffdd1f58-8b32-47f4-a1e4-e5bc6af1864f</t>
  </si>
  <si>
    <t>6538978f-18b0-45d5-8829-1db90aaac694</t>
  </si>
  <si>
    <t>ae6ad58d-7b23-4070-bd58-ead5da3b2f7a</t>
  </si>
  <si>
    <t>87dc6ade-863e-4c66-8211-07cb21adbc11</t>
  </si>
  <si>
    <t>05cca53b-d096-4294-aa48-8cb25928f6b7</t>
  </si>
  <si>
    <t>d7167cf9-6822-4a0b-a53e-0c883ed75398</t>
  </si>
  <si>
    <t>41627b79-0120-4cc1-97ad-528bc33f5bde</t>
  </si>
  <si>
    <t>5ada5e1d-d66f-477f-b03b-9050664a15ab</t>
  </si>
  <si>
    <t>107c36d0-2fdf-44cd-bd41-1057d8d03990</t>
  </si>
  <si>
    <t>3d9ce9f0-3436-406b-a514-44178d2345c1</t>
  </si>
  <si>
    <t>f74636c7-af27-4dc6-9e7e-6aaedfdf084d</t>
  </si>
  <si>
    <t>e4071c55-dea8-4bc8-8413-e2bfb0eb2b5e</t>
  </si>
  <si>
    <t>122b38be-23b8-461a-ba01-8624be6e83b7</t>
  </si>
  <si>
    <t>35ba7c49-1c9c-4409-a132-61afb47791a7</t>
  </si>
  <si>
    <t>5f15b4b7-4fc9-4145-af02-5d8d1f7968d1</t>
  </si>
  <si>
    <t>74b48e3d-adbe-4d4c-afbb-418df358f455</t>
  </si>
  <si>
    <t>743ace8b-0999-494e-845f-0fb8b9f4d375</t>
  </si>
  <si>
    <t>8aa03fcc-52bc-4c86-aecc-b1ff472af5c2</t>
  </si>
  <si>
    <t>c4cddce4-2efa-4229-b513-bceac6c5f9f1</t>
  </si>
  <si>
    <t>c53c6a7f-309b-4075-8e82-0d4a5777f993</t>
  </si>
  <si>
    <t>c8dc83f1-7175-4e24-b792-2e543a7b730d</t>
  </si>
  <si>
    <t>e0286a5d-9a13-4f0b-b1df-6e12eb7e04f6</t>
  </si>
  <si>
    <t>eb787b8a-0588-4d50-82b7-ee29821a90ad</t>
  </si>
  <si>
    <t>efd225cf-5cc1-4e1e-a990-4f8575ca9a48</t>
  </si>
  <si>
    <t>06b8a9eb-1856-4dca-98d5-70f522d52aa9</t>
  </si>
  <si>
    <t>25a3a453-eb6b-4318-aa6c-8ac03174f684</t>
  </si>
  <si>
    <t>9ecc1db2-f4d8-4b64-898b-add3faceeb61</t>
  </si>
  <si>
    <t>ad565cb0-f3e7-4afa-8f8b-afcfe80b4c6f</t>
  </si>
  <si>
    <t>041e48ff-77b3-4cb1-828c-d57185b7a3ff</t>
  </si>
  <si>
    <t>0f88a018-a81d-46df-8a18-a871ebce9614</t>
  </si>
  <si>
    <t>11be96d0-9c0e-4439-b6de-4292de735ad0</t>
  </si>
  <si>
    <t>20a825de-c968-47ff-8787-ffbcf7e8f3ed</t>
  </si>
  <si>
    <t>4c9b2e0f-e0c1-4d64-84bf-f225b3c33fa0</t>
  </si>
  <si>
    <t>5352f619-bafc-412a-8978-0cdc6f167922</t>
  </si>
  <si>
    <t>5ac3f366-0343-4d3a-8ef6-2be29dff0751</t>
  </si>
  <si>
    <t>7befcabe-4ecf-4be2-b2f2-c0f582bb9841</t>
  </si>
  <si>
    <t>7f544c38-decc-45e6-9d9c-c4737b5dc9c7</t>
  </si>
  <si>
    <t>b1ba8ccc-be7f-4eb9-a238-045444b232c1</t>
  </si>
  <si>
    <t>b8b25f4f-a04e-4a12-8713-5801c89957ec</t>
  </si>
  <si>
    <t>bed22259-748b-4837-a1a9-ba9d0bb23421</t>
  </si>
  <si>
    <t>cfc2a587-a5cc-40af-b0ea-7e67db681cd6</t>
  </si>
  <si>
    <t>d001a350-1fe8-457b-8dbc-96252426a380</t>
  </si>
  <si>
    <t>d41b4fff-411b-4559-8d24-598bf46422e1</t>
  </si>
  <si>
    <t>dc93a0d9-bca3-4ef0-9412-d2149b8c9e35</t>
  </si>
  <si>
    <t>de5f1608-3ebe-4a0d-bd9a-b6f05fa48d96</t>
  </si>
  <si>
    <t>6e0c7a26-d1ca-4ff3-8f52-ac3ad962afad</t>
  </si>
  <si>
    <t>8ccc337b-6f7a-426e-ab32-6ffd770d17f7</t>
  </si>
  <si>
    <t>90141c40-c783-43fe-8ad0-c06ffbe0090b</t>
  </si>
  <si>
    <t>9c15242f-6af4-4b2e-ac5d-d0de8475984f</t>
  </si>
  <si>
    <t>9c747847-d1d1-40c0-ba11-5292b40ec285</t>
  </si>
  <si>
    <t>c6e3bbad-5c4c-437a-ab74-1a0730b59791</t>
  </si>
  <si>
    <t>d1e48f8f-fbdb-4b44-805f-afa6db744601</t>
  </si>
  <si>
    <t>e1b0993b-4f05-4a65-8d23-5c84a40a1f83</t>
  </si>
  <si>
    <t>e1d14006-dfdc-4afe-bbc9-0edbc1fa6a07</t>
  </si>
  <si>
    <t>ea7e3eb9-4dc6-473e-9b1e-3b6811f6ac15</t>
  </si>
  <si>
    <t>f5dec859-2f91-4e44-80ca-28f7f2755fb5</t>
  </si>
  <si>
    <t>70708a75-983f-4532-a095-298d138101f8</t>
  </si>
  <si>
    <t>80103b6b-c9af-4858-a62a-3e41ac0c276b</t>
  </si>
  <si>
    <t>ca5290d4-f8e4-4c6b-b16b-f2ef4bf5a7d1</t>
  </si>
  <si>
    <t>dc547f42-ae62-4566-a909-a36d202fed70</t>
  </si>
  <si>
    <t>0cb4933d-94cb-454d-bab6-7c5163009974</t>
  </si>
  <si>
    <t>5b95b171-23ef-42d1-b9ea-81441a1a4761</t>
  </si>
  <si>
    <t>61dc8e59-15cf-440a-bfc8-b28d51aefd92</t>
  </si>
  <si>
    <t>9d5eea85-a7b0-4902-8494-45c0c523b425</t>
  </si>
  <si>
    <t>abfc85ae-abeb-4dc6-8790-58ca594dbbb8</t>
  </si>
  <si>
    <t>e471f6e0-63f0-41ec-92b5-30f5feaa6a29</t>
  </si>
  <si>
    <t>fad8f05a-994e-499c-ac8a-7d813defcfde</t>
  </si>
  <si>
    <t>fcdcffeb-e512-4cbf-a33b-0678f48243fc</t>
  </si>
  <si>
    <t>5124d9cf-cb67-4d64-8092-e3e138cb54fb</t>
  </si>
  <si>
    <t>7c509418-f91d-4cac-ae6d-74a91ee779a6</t>
  </si>
  <si>
    <t>8ba860a2-4497-4792-a83d-b4a0577a0b79</t>
  </si>
  <si>
    <t>8e51d84f-e4b4-4c54-8dd2-4183eb0a32ef</t>
  </si>
  <si>
    <t>cf158ea9-fd0e-466c-be56-ff524ce9ec3e</t>
  </si>
  <si>
    <t>d7f53cd3-6ed2-4ea2-ac68-81a9079633cc</t>
  </si>
  <si>
    <t>042f884c-af2c-4d15-8b30-c7a231b79cb8</t>
  </si>
  <si>
    <t>34c3b436-7f80-4704-8b56-464474b970af</t>
  </si>
  <si>
    <t>684f4d2c-80f9-46cc-ba54-5cf5497b9d10</t>
  </si>
  <si>
    <t>70ce3682-b71b-468d-a272-b7eabdc38d74</t>
  </si>
  <si>
    <t>84be4fdd-53a3-477e-8a86-f3be31c7cfc5</t>
  </si>
  <si>
    <t>86dead3b-3ea4-40d5-8a0b-1c1ac8ee004c</t>
  </si>
  <si>
    <t>87a4cee9-3848-4a03-bb39-58c9836d2403</t>
  </si>
  <si>
    <t>9a9890fd-cb6c-4926-9e27-b8093a3079cf</t>
  </si>
  <si>
    <t>a51ce18c-553d-4f72-9ace-d2d845cda382</t>
  </si>
  <si>
    <t>a8bdbf18-eee7-4849-a992-3b40858dc739</t>
  </si>
  <si>
    <t>f15cd3c1-2cad-407d-948b-a8783b4f9934</t>
  </si>
  <si>
    <t>f55554b9-3bee-49e2-84e6-c142102b1f3e</t>
  </si>
  <si>
    <t>id</t>
  </si>
  <si>
    <t>external_id</t>
  </si>
  <si>
    <t>project_id</t>
  </si>
  <si>
    <t>position</t>
  </si>
  <si>
    <t>length_total_mm</t>
  </si>
  <si>
    <t>width_total_mm</t>
  </si>
  <si>
    <t>height_total_mm</t>
  </si>
  <si>
    <t>weight_kg</t>
  </si>
  <si>
    <t>concrete_volume_m3</t>
  </si>
  <si>
    <t>erection_sequence</t>
  </si>
  <si>
    <t>delivery_id</t>
  </si>
  <si>
    <t>master_plan_stage</t>
  </si>
  <si>
    <t>master_plan_floor</t>
  </si>
  <si>
    <t>actual_date_design</t>
  </si>
  <si>
    <t>planned_date_loading</t>
  </si>
  <si>
    <t>planned_date_erection</t>
  </si>
  <si>
    <t>transport_scheme</t>
  </si>
  <si>
    <t>4</t>
  </si>
  <si>
    <t>7</t>
  </si>
  <si>
    <t>201</t>
  </si>
  <si>
    <t>8</t>
  </si>
  <si>
    <t>6</t>
  </si>
  <si>
    <t>3</t>
  </si>
  <si>
    <t>5</t>
  </si>
  <si>
    <t>2</t>
  </si>
  <si>
    <t>GAMINIU_GRUPE</t>
  </si>
  <si>
    <t>N</t>
  </si>
  <si>
    <t>O</t>
  </si>
  <si>
    <t>P</t>
  </si>
  <si>
    <t>Q</t>
  </si>
  <si>
    <t>S</t>
  </si>
  <si>
    <t>U</t>
  </si>
  <si>
    <t>V</t>
  </si>
  <si>
    <t>X</t>
  </si>
  <si>
    <t>Y</t>
  </si>
  <si>
    <t>Z</t>
  </si>
  <si>
    <t>AA</t>
  </si>
  <si>
    <t>AB</t>
  </si>
  <si>
    <t>AC</t>
  </si>
  <si>
    <t>BETONO_KLASE</t>
  </si>
  <si>
    <t>AE</t>
  </si>
  <si>
    <t>AH</t>
  </si>
  <si>
    <t>AI</t>
  </si>
  <si>
    <t>AJ</t>
  </si>
  <si>
    <t>AK</t>
  </si>
  <si>
    <t>AO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</si>
  <si>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</si>
  <si>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</si>
  <si>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</si>
  <si>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</si>
  <si>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</si>
  <si>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</si>
  <si>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</si>
  <si>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</si>
  <si>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</si>
  <si>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C40/50,C30/37,XC1,XC4+XF1</t>
  </si>
  <si>
    <t>šeštadienis</t>
  </si>
  <si>
    <t>sekmadienis</t>
  </si>
  <si>
    <t>ketvirtadienis</t>
  </si>
  <si>
    <t>penktadienis</t>
  </si>
  <si>
    <t>antradienis</t>
  </si>
  <si>
    <t>pirmadienis</t>
  </si>
  <si>
    <t>trečiadienis</t>
  </si>
  <si>
    <t>PROJEKTAVIMO PASTABOS</t>
  </si>
  <si>
    <t/>
  </si>
  <si>
    <t>NEGABARITAS</t>
  </si>
  <si>
    <t>1</t>
  </si>
  <si>
    <t>KIEKIS</t>
  </si>
  <si>
    <t>Vėlinės</t>
  </si>
  <si>
    <t>ca748fb3-a15e-4c9f-94a9-eee4b53c3e74</t>
  </si>
  <si>
    <t>2ad1d6ae-22de-45d2-9c70-907f0913b890</t>
  </si>
  <si>
    <t>68d141eb-98df-4697-b275-5766c962e4a2</t>
  </si>
  <si>
    <t>36c6ee4d-cf62-47cb-9c42-5718b5b3903c</t>
  </si>
  <si>
    <t>51a2ab74-5de4-44ba-b917-da9439223ded</t>
  </si>
  <si>
    <t>88029fa8-84d3-4f8d-86bc-b0e908301a9a</t>
  </si>
  <si>
    <t>a386424e-3cb7-4297-b879-e7925cdbc197</t>
  </si>
  <si>
    <t>203</t>
  </si>
  <si>
    <t>7a5d6ed1-acab-40f2-93a4-fc8284a5a876</t>
  </si>
  <si>
    <t>9d8ab42a-89c8-44be-97dc-e54a10d932d1</t>
  </si>
  <si>
    <t>50dbf640-1d82-42b5-8a41-ed5c834029b4</t>
  </si>
  <si>
    <t>dedf28b6-567f-48ba-9db4-aad40457032f</t>
  </si>
  <si>
    <t>a4e77f0b-d0d4-402d-b874-28e9df21bbf3</t>
  </si>
  <si>
    <t>26cc1ed2-3c1e-435d-8c25-431c5b7cb422</t>
  </si>
  <si>
    <t>9ee7a886-fa4d-4af8-9d46-e2c82d47286f</t>
  </si>
  <si>
    <t>d174a1a8-bc50-479d-b0f9-f005c4628ccf</t>
  </si>
  <si>
    <t>fcb03528-d825-4d24-9a3f-be426325402d</t>
  </si>
  <si>
    <t>KP NEGABARITAS</t>
  </si>
  <si>
    <t>Prefiksas</t>
  </si>
  <si>
    <t>Gaminiu grupe</t>
  </si>
  <si>
    <t>Reikalavimu folderis</t>
  </si>
  <si>
    <t>VS</t>
  </si>
  <si>
    <t>Sienos</t>
  </si>
  <si>
    <t>1CP</t>
  </si>
  <si>
    <t>1LS</t>
  </si>
  <si>
    <t>2LS</t>
  </si>
  <si>
    <t>S2</t>
  </si>
  <si>
    <t>3LS</t>
  </si>
  <si>
    <t>3VS</t>
  </si>
  <si>
    <t>3CP</t>
  </si>
  <si>
    <t>LS</t>
  </si>
  <si>
    <t>2CP</t>
  </si>
  <si>
    <t>LS14</t>
  </si>
  <si>
    <t>LS04</t>
  </si>
  <si>
    <t>LS15</t>
  </si>
  <si>
    <t>LS16</t>
  </si>
  <si>
    <t>LS08</t>
  </si>
  <si>
    <t>LS10</t>
  </si>
  <si>
    <t>LS09</t>
  </si>
  <si>
    <t>LS17</t>
  </si>
  <si>
    <t>LS20</t>
  </si>
  <si>
    <t>LS11</t>
  </si>
  <si>
    <t>LS01</t>
  </si>
  <si>
    <t>VNS</t>
  </si>
  <si>
    <t>LS_M_5</t>
  </si>
  <si>
    <t>LS_M_4</t>
  </si>
  <si>
    <t>LP1S</t>
  </si>
  <si>
    <t>LP0P</t>
  </si>
  <si>
    <t>LS_M_3</t>
  </si>
  <si>
    <t>LP0S</t>
  </si>
  <si>
    <t>LS3</t>
  </si>
  <si>
    <t>LS1</t>
  </si>
  <si>
    <t>LS2</t>
  </si>
  <si>
    <t>CPL</t>
  </si>
  <si>
    <t>CL</t>
  </si>
  <si>
    <t>CP</t>
  </si>
  <si>
    <t>LPA</t>
  </si>
  <si>
    <t>LA</t>
  </si>
  <si>
    <t>W1</t>
  </si>
  <si>
    <t>W2</t>
  </si>
  <si>
    <t>W</t>
  </si>
  <si>
    <t>FWT</t>
  </si>
  <si>
    <t>WI</t>
  </si>
  <si>
    <t>1LW</t>
  </si>
  <si>
    <t>s1</t>
  </si>
  <si>
    <t>ABW5</t>
  </si>
  <si>
    <t>SP(C)</t>
  </si>
  <si>
    <t>s3</t>
  </si>
  <si>
    <t>ABV5</t>
  </si>
  <si>
    <t>SP(A2)</t>
  </si>
  <si>
    <t>MAV1</t>
  </si>
  <si>
    <t>IW</t>
  </si>
  <si>
    <t>3CS</t>
  </si>
  <si>
    <t>SW</t>
  </si>
  <si>
    <t>2VS</t>
  </si>
  <si>
    <t>1CS</t>
  </si>
  <si>
    <t>SN</t>
  </si>
  <si>
    <t>Pw</t>
  </si>
  <si>
    <t>3LSP</t>
  </si>
  <si>
    <t>CP3</t>
  </si>
  <si>
    <t>2CS</t>
  </si>
  <si>
    <t>PS</t>
  </si>
  <si>
    <t>1LSP</t>
  </si>
  <si>
    <t>UTV1</t>
  </si>
  <si>
    <t>UTV2</t>
  </si>
  <si>
    <t>UTV3</t>
  </si>
  <si>
    <t>UTV4</t>
  </si>
  <si>
    <t>BR</t>
  </si>
  <si>
    <t>TC</t>
  </si>
  <si>
    <t>1PS</t>
  </si>
  <si>
    <t>ULV2</t>
  </si>
  <si>
    <t>ULW2</t>
  </si>
  <si>
    <t>1PSP</t>
  </si>
  <si>
    <t>BP</t>
  </si>
  <si>
    <t>1LS.P2</t>
  </si>
  <si>
    <t>1LS.P3</t>
  </si>
  <si>
    <t>K</t>
  </si>
  <si>
    <t>Kolonos_Rygeliai</t>
  </si>
  <si>
    <t>VSD4</t>
  </si>
  <si>
    <t>VSD5</t>
  </si>
  <si>
    <t>3PS</t>
  </si>
  <si>
    <t>METALO_MASE_KG</t>
  </si>
  <si>
    <t>KARKASU_KIEKIS</t>
  </si>
  <si>
    <t>1/1</t>
  </si>
  <si>
    <t>Versija 2023-09-12</t>
  </si>
  <si>
    <t>Perkelta i BIM2</t>
  </si>
  <si>
    <t>taip</t>
  </si>
  <si>
    <t>2023-15-25</t>
  </si>
  <si>
    <t>2023-16-27</t>
  </si>
  <si>
    <t>2023-17-25</t>
  </si>
  <si>
    <t>2023-18-27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</si>
</sst>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yyyy/mm/dd;@"/>
    <numFmt numFmtId="165" formatCode="#,##0.0"/>
    <numFmt numFmtId="166" formatCode="0.0"/>
    <numFmt numFmtId="167" formatCode="0.0%"/>
    <numFmt numFmtId="168" formatCode="0;\-0;;@"/>
    <numFmt numFmtId="169" formatCode="0%;\-0%;;@"/>
    <numFmt numFmtId="170" formatCode="0.0;\-0;;@"/>
    <numFmt numFmtId="171" formatCode="yy/mm/dd;@"/>
  </numFmts>
  <fonts count="61" x14ac:knownFonts="1">
    <font>
      <sz val="11"/>
      <color theme="1"/>
      <name val="Calibri"/>
      <family val="2"/>
      <charset val="186"/>
      <scheme val="minor"/>
    </font>
    <font>
      <sz val="10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sz val="10"/>
      <name val="Arial"/>
      <family val="2"/>
      <charset val="186"/>
    </font>
    <font>
      <sz val="11"/>
      <color rgb="FFFF0000"/>
      <name val="Calibri"/>
      <family val="2"/>
      <charset val="186"/>
      <scheme val="minor"/>
    </font>
    <font>
      <sz val="11"/>
      <color theme="1"/>
      <name val="Calibri"/>
      <family val="2"/>
      <charset val="186"/>
      <scheme val="minor"/>
    </font>
    <font>
      <b/>
      <sz val="18"/>
      <color theme="3"/>
      <name val="Cambria"/>
      <family val="2"/>
      <charset val="186"/>
      <scheme val="major"/>
    </font>
    <font>
      <b/>
      <sz val="15"/>
      <color theme="3"/>
      <name val="Calibri"/>
      <family val="2"/>
      <charset val="186"/>
      <scheme val="minor"/>
    </font>
    <font>
      <b/>
      <sz val="13"/>
      <color theme="3"/>
      <name val="Calibri"/>
      <family val="2"/>
      <charset val="186"/>
      <scheme val="minor"/>
    </font>
    <font>
      <b/>
      <sz val="11"/>
      <color theme="3"/>
      <name val="Calibri"/>
      <family val="2"/>
      <charset val="186"/>
      <scheme val="minor"/>
    </font>
    <font>
      <sz val="11"/>
      <color rgb="FF006100"/>
      <name val="Calibri"/>
      <family val="2"/>
      <charset val="186"/>
      <scheme val="minor"/>
    </font>
    <font>
      <sz val="11"/>
      <color rgb="FF9C0006"/>
      <name val="Calibri"/>
      <family val="2"/>
      <charset val="186"/>
      <scheme val="minor"/>
    </font>
    <font>
      <sz val="11"/>
      <color rgb="FF9C6500"/>
      <name val="Calibri"/>
      <family val="2"/>
      <charset val="186"/>
      <scheme val="minor"/>
    </font>
    <font>
      <sz val="11"/>
      <color rgb="FF3F3F76"/>
      <name val="Calibri"/>
      <family val="2"/>
      <charset val="186"/>
      <scheme val="minor"/>
    </font>
    <font>
      <b/>
      <sz val="11"/>
      <color rgb="FF3F3F3F"/>
      <name val="Calibri"/>
      <family val="2"/>
      <charset val="186"/>
      <scheme val="minor"/>
    </font>
    <font>
      <b/>
      <sz val="11"/>
      <color rgb="FFFA7D00"/>
      <name val="Calibri"/>
      <family val="2"/>
      <charset val="186"/>
      <scheme val="minor"/>
    </font>
    <font>
      <sz val="11"/>
      <color rgb="FFFA7D00"/>
      <name val="Calibri"/>
      <family val="2"/>
      <charset val="186"/>
      <scheme val="minor"/>
    </font>
    <font>
      <b/>
      <sz val="11"/>
      <color theme="0"/>
      <name val="Calibri"/>
      <family val="2"/>
      <charset val="186"/>
      <scheme val="minor"/>
    </font>
    <font>
      <i/>
      <sz val="11"/>
      <color rgb="FF7F7F7F"/>
      <name val="Calibri"/>
      <family val="2"/>
      <charset val="186"/>
      <scheme val="minor"/>
    </font>
    <font>
      <sz val="11"/>
      <color theme="0"/>
      <name val="Calibri"/>
      <family val="2"/>
      <charset val="186"/>
      <scheme val="minor"/>
    </font>
    <font>
      <sz val="10"/>
      <color theme="0"/>
      <name val="Calibri"/>
      <family val="2"/>
      <charset val="186"/>
      <scheme val="minor"/>
    </font>
    <font>
      <sz val="10"/>
      <name val="Arial"/>
      <family val="2"/>
      <charset val="204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  <charset val="186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10"/>
      <name val="Times New Roman"/>
      <family val="1"/>
      <charset val="186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b/>
      <sz val="11"/>
      <color indexed="63"/>
      <name val="Calibri"/>
      <family val="2"/>
      <charset val="186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sz val="11"/>
      <color indexed="10"/>
      <name val="Calibri"/>
      <family val="2"/>
      <charset val="186"/>
    </font>
    <font>
      <u/>
      <sz val="11"/>
      <color theme="10"/>
      <name val="Calibri"/>
      <family val="2"/>
      <charset val="186"/>
      <scheme val="minor"/>
    </font>
    <font>
      <b/>
      <sz val="14"/>
      <color theme="1"/>
      <name val="Calibri"/>
      <family val="2"/>
      <charset val="186"/>
      <scheme val="minor"/>
    </font>
    <font>
      <sz val="10"/>
      <name val="Calibri"/>
      <family val="2"/>
      <charset val="186"/>
      <scheme val="minor"/>
    </font>
    <font>
      <vertAlign val="superscript"/>
      <sz val="10"/>
      <name val="Calibri"/>
      <family val="2"/>
      <charset val="186"/>
      <scheme val="minor"/>
    </font>
    <font>
      <b/>
      <sz val="9"/>
      <color indexed="81"/>
      <name val="Tahoma"/>
      <family val="2"/>
      <charset val="186"/>
    </font>
    <font>
      <b/>
      <sz val="10"/>
      <color theme="1"/>
      <name val="Calibri"/>
      <family val="2"/>
      <charset val="186"/>
      <scheme val="minor"/>
    </font>
    <font>
      <sz val="10"/>
      <color theme="1"/>
      <name val="Calibri"/>
      <family val="2"/>
      <charset val="186"/>
      <scheme val="minor"/>
    </font>
    <font>
      <b/>
      <sz val="14"/>
      <color theme="1"/>
      <name val="Calibri"/>
      <family val="2"/>
      <charset val="186"/>
      <scheme val="minor"/>
    </font>
    <font>
      <u/>
      <sz val="10"/>
      <color theme="10"/>
      <name val="Calibri"/>
      <family val="2"/>
      <charset val="186"/>
      <scheme val="minor"/>
    </font>
    <font>
      <b/>
      <sz val="12"/>
      <color theme="1"/>
      <name val="Calibri"/>
      <family val="2"/>
      <charset val="186"/>
      <scheme val="minor"/>
    </font>
    <font>
      <sz val="10"/>
      <name val="Calibri"/>
      <family val="2"/>
      <charset val="186"/>
      <scheme val="minor"/>
    </font>
    <font>
      <b/>
      <sz val="10"/>
      <color rgb="FFFF0000"/>
      <name val="Calibri"/>
      <family val="2"/>
      <charset val="186"/>
      <scheme val="minor"/>
    </font>
    <font>
      <sz val="11"/>
      <color theme="1"/>
      <name val="Calibri Light"/>
      <family val="2"/>
      <charset val="204"/>
    </font>
    <font>
      <b/>
      <sz val="10"/>
      <name val="Calibri"/>
      <family val="2"/>
      <charset val="186"/>
      <scheme val="minor"/>
    </font>
    <font>
      <sz val="11"/>
      <color theme="1"/>
      <name val="Calibri Light"/>
      <family val="2"/>
      <charset val="186"/>
    </font>
    <font>
      <sz val="9"/>
      <color indexed="81"/>
      <name val="Tahoma"/>
      <family val="2"/>
      <charset val="186"/>
    </font>
    <font>
      <sz val="8"/>
      <name val="Calibri"/>
      <family val="2"/>
      <charset val="186"/>
      <scheme val="minor"/>
    </font>
    <font>
      <sz val="10"/>
      <color theme="1"/>
      <name val="Calibri Light"/>
      <family val="2"/>
      <charset val="186"/>
    </font>
    <font>
      <sz val="12"/>
      <color theme="1"/>
      <name val="Calibri Light"/>
      <family val="2"/>
      <charset val="186"/>
    </font>
    <font>
      <u/>
      <sz val="11"/>
      <color theme="10"/>
      <name val="Calibri Light"/>
      <family val="2"/>
      <charset val="186"/>
    </font>
    <font>
      <sz val="10"/>
      <color indexed="10"/>
      <name val="Calibri"/>
      <family val="2"/>
      <charset val="186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89">
    <xf numFmtId="0" fontId="0" fillId="0" borderId="0"/>
    <xf numFmtId="0" fontId="3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4" fillId="0" borderId="0" applyNumberFormat="0" applyFill="0" applyBorder="0" applyAlignment="0" applyProtection="0"/>
    <xf numFmtId="0" fontId="5" fillId="8" borderId="8" applyNumberFormat="0" applyFont="0" applyAlignment="0" applyProtection="0"/>
    <xf numFmtId="0" fontId="18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9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19" fillId="32" borderId="0" applyNumberFormat="0" applyBorder="0" applyAlignment="0" applyProtection="0"/>
    <xf numFmtId="0" fontId="21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2" fillId="33" borderId="0" applyNumberFormat="0" applyBorder="0" applyAlignment="0" applyProtection="0"/>
    <xf numFmtId="0" fontId="22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22" fillId="37" borderId="0" applyNumberFormat="0" applyBorder="0" applyAlignment="0" applyProtection="0"/>
    <xf numFmtId="0" fontId="22" fillId="38" borderId="0" applyNumberFormat="0" applyBorder="0" applyAlignment="0" applyProtection="0"/>
    <xf numFmtId="0" fontId="22" fillId="39" borderId="0" applyNumberFormat="0" applyBorder="0" applyAlignment="0" applyProtection="0"/>
    <xf numFmtId="0" fontId="22" fillId="40" borderId="0" applyNumberFormat="0" applyBorder="0" applyAlignment="0" applyProtection="0"/>
    <xf numFmtId="0" fontId="22" fillId="41" borderId="0" applyNumberFormat="0" applyBorder="0" applyAlignment="0" applyProtection="0"/>
    <xf numFmtId="0" fontId="22" fillId="36" borderId="0" applyNumberFormat="0" applyBorder="0" applyAlignment="0" applyProtection="0"/>
    <xf numFmtId="0" fontId="22" fillId="39" borderId="0" applyNumberFormat="0" applyBorder="0" applyAlignment="0" applyProtection="0"/>
    <xf numFmtId="0" fontId="22" fillId="42" borderId="0" applyNumberFormat="0" applyBorder="0" applyAlignment="0" applyProtection="0"/>
    <xf numFmtId="0" fontId="23" fillId="43" borderId="0" applyNumberFormat="0" applyBorder="0" applyAlignment="0" applyProtection="0"/>
    <xf numFmtId="0" fontId="23" fillId="40" borderId="0" applyNumberFormat="0" applyBorder="0" applyAlignment="0" applyProtection="0"/>
    <xf numFmtId="0" fontId="23" fillId="41" borderId="0" applyNumberFormat="0" applyBorder="0" applyAlignment="0" applyProtection="0"/>
    <xf numFmtId="0" fontId="23" fillId="44" borderId="0" applyNumberFormat="0" applyBorder="0" applyAlignment="0" applyProtection="0"/>
    <xf numFmtId="0" fontId="23" fillId="45" borderId="0" applyNumberFormat="0" applyBorder="0" applyAlignment="0" applyProtection="0"/>
    <xf numFmtId="0" fontId="23" fillId="46" borderId="0" applyNumberFormat="0" applyBorder="0" applyAlignment="0" applyProtection="0"/>
    <xf numFmtId="0" fontId="23" fillId="47" borderId="0" applyNumberFormat="0" applyBorder="0" applyAlignment="0" applyProtection="0"/>
    <xf numFmtId="0" fontId="23" fillId="48" borderId="0" applyNumberFormat="0" applyBorder="0" applyAlignment="0" applyProtection="0"/>
    <xf numFmtId="0" fontId="23" fillId="49" borderId="0" applyNumberFormat="0" applyBorder="0" applyAlignment="0" applyProtection="0"/>
    <xf numFmtId="0" fontId="23" fillId="44" borderId="0" applyNumberFormat="0" applyBorder="0" applyAlignment="0" applyProtection="0"/>
    <xf numFmtId="0" fontId="23" fillId="45" borderId="0" applyNumberFormat="0" applyBorder="0" applyAlignment="0" applyProtection="0"/>
    <xf numFmtId="0" fontId="23" fillId="50" borderId="0" applyNumberFormat="0" applyBorder="0" applyAlignment="0" applyProtection="0"/>
    <xf numFmtId="0" fontId="24" fillId="34" borderId="0" applyNumberFormat="0" applyBorder="0" applyAlignment="0" applyProtection="0"/>
    <xf numFmtId="0" fontId="25" fillId="51" borderId="10" applyNumberFormat="0" applyAlignment="0" applyProtection="0"/>
    <xf numFmtId="0" fontId="26" fillId="52" borderId="11" applyNumberFormat="0" applyAlignment="0" applyProtection="0"/>
    <xf numFmtId="0" fontId="28" fillId="0" borderId="0" applyNumberFormat="0" applyFill="0" applyBorder="0" applyAlignment="0" applyProtection="0"/>
    <xf numFmtId="0" fontId="29" fillId="35" borderId="0" applyNumberFormat="0" applyBorder="0" applyAlignment="0" applyProtection="0"/>
    <xf numFmtId="0" fontId="30" fillId="0" borderId="12" applyNumberFormat="0" applyFill="0" applyAlignment="0" applyProtection="0"/>
    <xf numFmtId="0" fontId="31" fillId="0" borderId="13" applyNumberFormat="0" applyFill="0" applyAlignment="0" applyProtection="0"/>
    <xf numFmtId="0" fontId="32" fillId="0" borderId="14" applyNumberFormat="0" applyFill="0" applyAlignment="0" applyProtection="0"/>
    <xf numFmtId="0" fontId="32" fillId="0" borderId="0" applyNumberFormat="0" applyFill="0" applyBorder="0" applyAlignment="0" applyProtection="0"/>
    <xf numFmtId="0" fontId="33" fillId="38" borderId="10" applyNumberFormat="0" applyAlignment="0" applyProtection="0"/>
    <xf numFmtId="0" fontId="34" fillId="0" borderId="15" applyNumberFormat="0" applyFill="0" applyAlignment="0" applyProtection="0"/>
    <xf numFmtId="0" fontId="35" fillId="53" borderId="0" applyNumberFormat="0" applyBorder="0" applyAlignment="0" applyProtection="0"/>
    <xf numFmtId="0" fontId="27" fillId="54" borderId="16" applyNumberFormat="0" applyFont="0" applyAlignment="0" applyProtection="0"/>
    <xf numFmtId="0" fontId="36" fillId="51" borderId="17" applyNumberFormat="0" applyAlignment="0" applyProtection="0"/>
    <xf numFmtId="0" fontId="37" fillId="0" borderId="0" applyNumberFormat="0" applyFill="0" applyBorder="0" applyAlignment="0" applyProtection="0"/>
    <xf numFmtId="0" fontId="38" fillId="0" borderId="18" applyNumberFormat="0" applyFill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</cellStyleXfs>
  <cellXfs count="148">
    <xf numFmtId="0" fontId="0" fillId="0" borderId="0" xfId="0"/>
    <xf numFmtId="0" fontId="1" fillId="0" borderId="0" xfId="0" applyFont="1" applyAlignment="1">
      <alignment horizontal="left" vertical="center" indent="1"/>
    </xf>
    <xf numFmtId="3" fontId="1" fillId="0" borderId="0" xfId="0" applyNumberFormat="1" applyFont="1" applyAlignment="1">
      <alignment horizontal="left" vertical="center" indent="1"/>
    </xf>
    <xf numFmtId="164" fontId="1" fillId="0" borderId="0" xfId="0" applyNumberFormat="1" applyFont="1" applyAlignment="1">
      <alignment horizontal="left" vertical="center" indent="1"/>
    </xf>
    <xf numFmtId="4" fontId="1" fillId="0" borderId="0" xfId="0" applyNumberFormat="1" applyFont="1" applyAlignment="1">
      <alignment horizontal="left" vertical="center" indent="1"/>
    </xf>
    <xf numFmtId="0" fontId="42" fillId="57" borderId="0" xfId="0" applyFont="1" applyFill="1" applyAlignment="1">
      <alignment horizontal="center" vertical="center" wrapText="1"/>
    </xf>
    <xf numFmtId="0" fontId="42" fillId="57" borderId="19" xfId="0" applyFont="1" applyFill="1" applyBorder="1" applyAlignment="1">
      <alignment horizontal="center" vertical="center" wrapText="1"/>
    </xf>
    <xf numFmtId="0" fontId="42" fillId="57" borderId="20" xfId="0" applyFont="1" applyFill="1" applyBorder="1" applyAlignment="1">
      <alignment horizontal="center" vertical="center" wrapText="1"/>
    </xf>
    <xf numFmtId="3" fontId="42" fillId="57" borderId="20" xfId="0" applyNumberFormat="1" applyFont="1" applyFill="1" applyBorder="1" applyAlignment="1">
      <alignment horizontal="center" vertical="center" wrapText="1"/>
    </xf>
    <xf numFmtId="164" fontId="42" fillId="57" borderId="20" xfId="0" applyNumberFormat="1" applyFont="1" applyFill="1" applyBorder="1" applyAlignment="1">
      <alignment horizontal="center" vertical="center" wrapText="1"/>
    </xf>
    <xf numFmtId="4" fontId="20" fillId="56" borderId="0" xfId="0" applyNumberFormat="1" applyFont="1" applyFill="1" applyAlignment="1">
      <alignment horizontal="center" vertical="center" wrapText="1"/>
    </xf>
    <xf numFmtId="4" fontId="42" fillId="57" borderId="23" xfId="0" applyNumberFormat="1" applyFont="1" applyFill="1" applyBorder="1" applyAlignment="1">
      <alignment horizontal="center" vertical="center" wrapText="1"/>
    </xf>
    <xf numFmtId="4" fontId="42" fillId="0" borderId="23" xfId="0" applyNumberFormat="1" applyFont="1" applyBorder="1" applyAlignment="1">
      <alignment horizontal="center" vertical="center" wrapText="1"/>
    </xf>
    <xf numFmtId="0" fontId="1" fillId="0" borderId="0" xfId="0" applyFont="1" applyAlignment="1" applyProtection="1">
      <alignment horizontal="left" vertical="center" indent="1"/>
      <protection hidden="1"/>
    </xf>
    <xf numFmtId="4" fontId="42" fillId="0" borderId="0" xfId="0" applyNumberFormat="1" applyFont="1" applyAlignment="1">
      <alignment horizontal="center" vertical="center" wrapText="1"/>
    </xf>
    <xf numFmtId="4" fontId="42" fillId="59" borderId="23" xfId="0" applyNumberFormat="1" applyFont="1" applyFill="1" applyBorder="1" applyAlignment="1">
      <alignment horizontal="center" vertical="center" wrapText="1"/>
    </xf>
    <xf numFmtId="4" fontId="42" fillId="59" borderId="0" xfId="0" applyNumberFormat="1" applyFont="1" applyFill="1" applyAlignment="1">
      <alignment horizontal="center" vertical="center" wrapText="1"/>
    </xf>
    <xf numFmtId="0" fontId="1" fillId="59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2" fillId="61" borderId="20" xfId="0" applyFont="1" applyFill="1" applyBorder="1" applyAlignment="1">
      <alignment horizontal="center" vertical="center" wrapText="1"/>
    </xf>
    <xf numFmtId="0" fontId="42" fillId="62" borderId="20" xfId="0" applyFont="1" applyFill="1" applyBorder="1" applyAlignment="1">
      <alignment horizontal="center" vertical="center" wrapText="1"/>
    </xf>
    <xf numFmtId="4" fontId="42" fillId="62" borderId="22" xfId="0" applyNumberFormat="1" applyFont="1" applyFill="1" applyBorder="1" applyAlignment="1">
      <alignment horizontal="center" vertical="center" wrapText="1"/>
    </xf>
    <xf numFmtId="4" fontId="42" fillId="58" borderId="27" xfId="0" applyNumberFormat="1" applyFont="1" applyFill="1" applyBorder="1" applyAlignment="1">
      <alignment horizontal="center" vertical="center" wrapText="1"/>
    </xf>
    <xf numFmtId="3" fontId="42" fillId="62" borderId="0" xfId="0" applyNumberFormat="1" applyFont="1" applyFill="1" applyAlignment="1">
      <alignment horizontal="center" vertical="center" wrapText="1"/>
    </xf>
    <xf numFmtId="0" fontId="45" fillId="0" borderId="0" xfId="0" applyFont="1" applyAlignment="1">
      <alignment horizontal="left" vertical="center" indent="1"/>
    </xf>
    <xf numFmtId="4" fontId="42" fillId="65" borderId="0" xfId="0" applyNumberFormat="1" applyFont="1" applyFill="1" applyAlignment="1">
      <alignment horizontal="center" vertical="center" wrapText="1"/>
    </xf>
    <xf numFmtId="14" fontId="46" fillId="58" borderId="0" xfId="0" applyNumberFormat="1" applyFont="1" applyFill="1" applyAlignment="1" applyProtection="1">
      <alignment horizontal="left" vertical="center" indent="1"/>
      <protection hidden="1"/>
    </xf>
    <xf numFmtId="1" fontId="46" fillId="0" borderId="0" xfId="0" applyNumberFormat="1" applyFont="1" applyAlignment="1" applyProtection="1">
      <alignment horizontal="left" vertical="center" indent="1"/>
      <protection hidden="1"/>
    </xf>
    <xf numFmtId="14" fontId="46" fillId="0" borderId="0" xfId="0" applyNumberFormat="1" applyFont="1" applyAlignment="1" applyProtection="1">
      <alignment horizontal="left" vertical="center" indent="1"/>
      <protection hidden="1"/>
    </xf>
    <xf numFmtId="0" fontId="46" fillId="0" borderId="0" xfId="0" applyFont="1" applyAlignment="1" applyProtection="1">
      <alignment horizontal="left" vertical="center" indent="1"/>
      <protection hidden="1"/>
    </xf>
    <xf numFmtId="0" fontId="46" fillId="0" borderId="0" xfId="0" applyFont="1" applyAlignment="1" applyProtection="1">
      <alignment vertical="center"/>
      <protection hidden="1"/>
    </xf>
    <xf numFmtId="165" fontId="46" fillId="0" borderId="0" xfId="0" applyNumberFormat="1" applyFont="1" applyAlignment="1" applyProtection="1">
      <alignment horizontal="left" vertical="center" indent="1"/>
      <protection hidden="1"/>
    </xf>
    <xf numFmtId="3" fontId="46" fillId="0" borderId="0" xfId="0" applyNumberFormat="1" applyFont="1" applyAlignment="1" applyProtection="1">
      <alignment horizontal="left" vertical="center" indent="1"/>
      <protection hidden="1"/>
    </xf>
    <xf numFmtId="4" fontId="46" fillId="0" borderId="0" xfId="0" applyNumberFormat="1" applyFont="1" applyAlignment="1" applyProtection="1">
      <alignment horizontal="left" vertical="center" indent="1"/>
      <protection hidden="1"/>
    </xf>
    <xf numFmtId="9" fontId="46" fillId="0" borderId="0" xfId="0" applyNumberFormat="1" applyFont="1" applyAlignment="1" applyProtection="1">
      <alignment horizontal="left" vertical="center" indent="1"/>
      <protection hidden="1"/>
    </xf>
    <xf numFmtId="0" fontId="47" fillId="57" borderId="24" xfId="0" applyFont="1" applyFill="1" applyBorder="1" applyAlignment="1" applyProtection="1">
      <alignment horizontal="left" vertical="center" indent="1"/>
      <protection hidden="1"/>
    </xf>
    <xf numFmtId="14" fontId="47" fillId="57" borderId="24" xfId="0" applyNumberFormat="1" applyFont="1" applyFill="1" applyBorder="1" applyAlignment="1" applyProtection="1">
      <alignment horizontal="left" vertical="center" indent="1"/>
      <protection hidden="1"/>
    </xf>
    <xf numFmtId="14" fontId="46" fillId="57" borderId="25" xfId="0" applyNumberFormat="1" applyFont="1" applyFill="1" applyBorder="1" applyAlignment="1" applyProtection="1">
      <alignment horizontal="left" vertical="center" indent="1"/>
      <protection hidden="1"/>
    </xf>
    <xf numFmtId="0" fontId="46" fillId="57" borderId="25" xfId="0" applyFont="1" applyFill="1" applyBorder="1" applyAlignment="1" applyProtection="1">
      <alignment vertical="center"/>
      <protection hidden="1"/>
    </xf>
    <xf numFmtId="0" fontId="46" fillId="57" borderId="25" xfId="0" applyFont="1" applyFill="1" applyBorder="1" applyAlignment="1" applyProtection="1">
      <alignment horizontal="left" vertical="center" indent="1"/>
      <protection hidden="1"/>
    </xf>
    <xf numFmtId="0" fontId="46" fillId="57" borderId="25" xfId="0" applyFont="1" applyFill="1" applyBorder="1" applyAlignment="1" applyProtection="1">
      <alignment horizontal="right" vertical="center" indent="1"/>
      <protection hidden="1"/>
    </xf>
    <xf numFmtId="165" fontId="46" fillId="57" borderId="25" xfId="0" applyNumberFormat="1" applyFont="1" applyFill="1" applyBorder="1" applyAlignment="1" applyProtection="1">
      <alignment horizontal="left" vertical="center" indent="1"/>
      <protection hidden="1"/>
    </xf>
    <xf numFmtId="3" fontId="46" fillId="57" borderId="25" xfId="0" applyNumberFormat="1" applyFont="1" applyFill="1" applyBorder="1" applyAlignment="1" applyProtection="1">
      <alignment horizontal="left" vertical="center" indent="1"/>
      <protection hidden="1"/>
    </xf>
    <xf numFmtId="4" fontId="46" fillId="57" borderId="25" xfId="0" applyNumberFormat="1" applyFont="1" applyFill="1" applyBorder="1" applyAlignment="1" applyProtection="1">
      <alignment horizontal="left" vertical="center" indent="1"/>
      <protection hidden="1"/>
    </xf>
    <xf numFmtId="9" fontId="46" fillId="57" borderId="25" xfId="0" applyNumberFormat="1" applyFont="1" applyFill="1" applyBorder="1" applyAlignment="1" applyProtection="1">
      <alignment horizontal="left" vertical="center" indent="1"/>
      <protection hidden="1"/>
    </xf>
    <xf numFmtId="0" fontId="46" fillId="57" borderId="26" xfId="0" applyFont="1" applyFill="1" applyBorder="1" applyAlignment="1" applyProtection="1">
      <alignment horizontal="right" vertical="center" indent="1"/>
      <protection hidden="1"/>
    </xf>
    <xf numFmtId="0" fontId="46" fillId="57" borderId="0" xfId="0" applyFont="1" applyFill="1" applyAlignment="1" applyProtection="1">
      <alignment horizontal="left" vertical="center" indent="1"/>
      <protection hidden="1"/>
    </xf>
    <xf numFmtId="0" fontId="46" fillId="55" borderId="24" xfId="0" applyFont="1" applyFill="1" applyBorder="1" applyAlignment="1" applyProtection="1">
      <alignment horizontal="center" vertical="center" wrapText="1"/>
      <protection hidden="1"/>
    </xf>
    <xf numFmtId="0" fontId="46" fillId="55" borderId="19" xfId="0" applyFont="1" applyFill="1" applyBorder="1" applyAlignment="1" applyProtection="1">
      <alignment horizontal="center" vertical="center" wrapText="1"/>
      <protection hidden="1"/>
    </xf>
    <xf numFmtId="14" fontId="46" fillId="55" borderId="20" xfId="0" applyNumberFormat="1" applyFont="1" applyFill="1" applyBorder="1" applyAlignment="1" applyProtection="1">
      <alignment horizontal="center" vertical="center" wrapText="1"/>
      <protection hidden="1"/>
    </xf>
    <xf numFmtId="0" fontId="46" fillId="55" borderId="20" xfId="0" applyFont="1" applyFill="1" applyBorder="1" applyAlignment="1" applyProtection="1">
      <alignment horizontal="center" vertical="center" wrapText="1"/>
      <protection hidden="1"/>
    </xf>
    <xf numFmtId="0" fontId="46" fillId="63" borderId="20" xfId="0" applyFont="1" applyFill="1" applyBorder="1" applyAlignment="1" applyProtection="1">
      <alignment horizontal="center" vertical="center" wrapText="1"/>
      <protection hidden="1"/>
    </xf>
    <xf numFmtId="165" fontId="46" fillId="64" borderId="20" xfId="0" applyNumberFormat="1" applyFont="1" applyFill="1" applyBorder="1" applyAlignment="1" applyProtection="1">
      <alignment horizontal="center" vertical="center" wrapText="1"/>
      <protection hidden="1"/>
    </xf>
    <xf numFmtId="3" fontId="46" fillId="63" borderId="20" xfId="0" applyNumberFormat="1" applyFont="1" applyFill="1" applyBorder="1" applyAlignment="1" applyProtection="1">
      <alignment horizontal="center" vertical="center" wrapText="1"/>
      <protection hidden="1"/>
    </xf>
    <xf numFmtId="4" fontId="46" fillId="63" borderId="20" xfId="0" applyNumberFormat="1" applyFont="1" applyFill="1" applyBorder="1" applyAlignment="1" applyProtection="1">
      <alignment horizontal="center" vertical="center" wrapText="1"/>
      <protection hidden="1"/>
    </xf>
    <xf numFmtId="0" fontId="46" fillId="0" borderId="20" xfId="0" applyFont="1" applyBorder="1" applyAlignment="1" applyProtection="1">
      <alignment horizontal="center" vertical="center" wrapText="1"/>
      <protection hidden="1"/>
    </xf>
    <xf numFmtId="165" fontId="46" fillId="65" borderId="20" xfId="0" applyNumberFormat="1" applyFont="1" applyFill="1" applyBorder="1" applyAlignment="1" applyProtection="1">
      <alignment horizontal="center" vertical="center" wrapText="1"/>
      <protection hidden="1"/>
    </xf>
    <xf numFmtId="9" fontId="46" fillId="65" borderId="20" xfId="0" applyNumberFormat="1" applyFont="1" applyFill="1" applyBorder="1" applyAlignment="1" applyProtection="1">
      <alignment horizontal="center" vertical="center" wrapText="1"/>
      <protection hidden="1"/>
    </xf>
    <xf numFmtId="9" fontId="46" fillId="0" borderId="20" xfId="0" applyNumberFormat="1" applyFont="1" applyBorder="1" applyAlignment="1" applyProtection="1">
      <alignment horizontal="center" vertical="center" wrapText="1"/>
      <protection hidden="1"/>
    </xf>
    <xf numFmtId="0" fontId="46" fillId="64" borderId="20" xfId="0" applyFont="1" applyFill="1" applyBorder="1" applyAlignment="1" applyProtection="1">
      <alignment horizontal="center" vertical="center" wrapText="1"/>
      <protection hidden="1"/>
    </xf>
    <xf numFmtId="0" fontId="46" fillId="64" borderId="21" xfId="0" applyFont="1" applyFill="1" applyBorder="1" applyAlignment="1" applyProtection="1">
      <alignment horizontal="center" vertical="center" wrapText="1"/>
      <protection hidden="1"/>
    </xf>
    <xf numFmtId="0" fontId="46" fillId="0" borderId="28" xfId="0" applyFont="1" applyBorder="1" applyAlignment="1" applyProtection="1">
      <alignment horizontal="center" vertical="center"/>
      <protection hidden="1"/>
    </xf>
    <xf numFmtId="0" fontId="46" fillId="0" borderId="20" xfId="0" applyFont="1" applyBorder="1" applyAlignment="1" applyProtection="1">
      <alignment horizontal="center" vertical="center"/>
      <protection hidden="1"/>
    </xf>
    <xf numFmtId="0" fontId="46" fillId="60" borderId="20" xfId="0" applyFont="1" applyFill="1" applyBorder="1" applyAlignment="1" applyProtection="1">
      <alignment horizontal="center" vertical="center" wrapText="1"/>
      <protection hidden="1"/>
    </xf>
    <xf numFmtId="0" fontId="46" fillId="55" borderId="21" xfId="0" applyFont="1" applyFill="1" applyBorder="1" applyAlignment="1" applyProtection="1">
      <alignment horizontal="center" vertical="center" wrapText="1"/>
      <protection hidden="1"/>
    </xf>
    <xf numFmtId="14" fontId="48" fillId="0" borderId="0" xfId="88" applyNumberFormat="1" applyFont="1" applyAlignment="1" applyProtection="1">
      <alignment horizontal="left" vertical="center" indent="1"/>
      <protection hidden="1"/>
    </xf>
    <xf numFmtId="14" fontId="46" fillId="0" borderId="0" xfId="0" applyNumberFormat="1" applyFont="1" applyAlignment="1" applyProtection="1">
      <alignment vertical="center"/>
      <protection hidden="1"/>
    </xf>
    <xf numFmtId="168" fontId="46" fillId="0" borderId="0" xfId="0" applyNumberFormat="1" applyFont="1" applyAlignment="1" applyProtection="1">
      <alignment horizontal="left" vertical="center" indent="1"/>
      <protection hidden="1"/>
    </xf>
    <xf numFmtId="170" fontId="46" fillId="0" borderId="0" xfId="0" applyNumberFormat="1" applyFont="1" applyAlignment="1" applyProtection="1">
      <alignment horizontal="left" vertical="center" indent="1"/>
      <protection hidden="1"/>
    </xf>
    <xf numFmtId="169" fontId="46" fillId="0" borderId="0" xfId="0" applyNumberFormat="1" applyFont="1" applyAlignment="1" applyProtection="1">
      <alignment horizontal="left" vertical="center" indent="1"/>
      <protection hidden="1"/>
    </xf>
    <xf numFmtId="0" fontId="46" fillId="0" borderId="22" xfId="0" applyFont="1" applyBorder="1" applyAlignment="1" applyProtection="1">
      <alignment horizontal="left" vertical="center" indent="1"/>
      <protection hidden="1"/>
    </xf>
    <xf numFmtId="1" fontId="46" fillId="0" borderId="22" xfId="0" applyNumberFormat="1" applyFont="1" applyBorder="1" applyAlignment="1" applyProtection="1">
      <alignment horizontal="left" vertical="center" indent="1"/>
      <protection hidden="1"/>
    </xf>
    <xf numFmtId="165" fontId="46" fillId="0" borderId="22" xfId="0" applyNumberFormat="1" applyFont="1" applyBorder="1" applyAlignment="1" applyProtection="1">
      <alignment horizontal="left" vertical="center" indent="1"/>
      <protection hidden="1"/>
    </xf>
    <xf numFmtId="14" fontId="46" fillId="57" borderId="0" xfId="0" applyNumberFormat="1" applyFont="1" applyFill="1" applyAlignment="1" applyProtection="1">
      <alignment horizontal="left" vertical="center" indent="1"/>
      <protection hidden="1"/>
    </xf>
    <xf numFmtId="0" fontId="46" fillId="57" borderId="0" xfId="0" applyFont="1" applyFill="1" applyAlignment="1" applyProtection="1">
      <alignment vertical="center"/>
      <protection hidden="1"/>
    </xf>
    <xf numFmtId="165" fontId="46" fillId="57" borderId="0" xfId="0" applyNumberFormat="1" applyFont="1" applyFill="1" applyAlignment="1" applyProtection="1">
      <alignment horizontal="left" vertical="center" indent="1"/>
      <protection hidden="1"/>
    </xf>
    <xf numFmtId="3" fontId="46" fillId="57" borderId="0" xfId="0" applyNumberFormat="1" applyFont="1" applyFill="1" applyAlignment="1" applyProtection="1">
      <alignment horizontal="left" vertical="center" indent="1"/>
      <protection hidden="1"/>
    </xf>
    <xf numFmtId="4" fontId="46" fillId="57" borderId="0" xfId="0" applyNumberFormat="1" applyFont="1" applyFill="1" applyAlignment="1" applyProtection="1">
      <alignment horizontal="left" vertical="center" indent="1"/>
      <protection hidden="1"/>
    </xf>
    <xf numFmtId="9" fontId="46" fillId="57" borderId="0" xfId="0" applyNumberFormat="1" applyFont="1" applyFill="1" applyAlignment="1" applyProtection="1">
      <alignment horizontal="left" vertical="center" indent="1"/>
      <protection hidden="1"/>
    </xf>
    <xf numFmtId="0" fontId="50" fillId="0" borderId="0" xfId="0" applyFont="1" applyAlignment="1" applyProtection="1">
      <alignment vertical="center"/>
      <protection hidden="1"/>
    </xf>
    <xf numFmtId="0" fontId="50" fillId="0" borderId="0" xfId="0" applyFont="1" applyAlignment="1" applyProtection="1">
      <alignment horizontal="left" vertical="center" indent="1"/>
      <protection hidden="1"/>
    </xf>
    <xf numFmtId="0" fontId="46" fillId="0" borderId="0" xfId="0" applyFont="1" applyAlignment="1" applyProtection="1">
      <alignment horizontal="left" vertical="center" wrapText="1" indent="1"/>
      <protection hidden="1"/>
    </xf>
    <xf numFmtId="166" fontId="46" fillId="0" borderId="0" xfId="0" applyNumberFormat="1" applyFont="1" applyAlignment="1" applyProtection="1">
      <alignment horizontal="left" vertical="center" indent="1"/>
      <protection hidden="1"/>
    </xf>
    <xf numFmtId="167" fontId="46" fillId="0" borderId="0" xfId="0" applyNumberFormat="1" applyFont="1" applyAlignment="1" applyProtection="1">
      <alignment horizontal="left" vertical="center" indent="1"/>
      <protection hidden="1"/>
    </xf>
    <xf numFmtId="0" fontId="51" fillId="0" borderId="0" xfId="0" applyFont="1" applyAlignment="1" applyProtection="1">
      <alignment horizontal="left" vertical="center" indent="1"/>
      <protection hidden="1"/>
    </xf>
    <xf numFmtId="0" fontId="46" fillId="0" borderId="0" xfId="0" applyFont="1" applyAlignment="1">
      <alignment vertical="center"/>
    </xf>
    <xf numFmtId="0" fontId="42" fillId="0" borderId="0" xfId="0" applyFont="1" applyAlignment="1">
      <alignment horizontal="center" vertical="center" wrapText="1"/>
    </xf>
    <xf numFmtId="0" fontId="42" fillId="0" borderId="0" xfId="0" applyFont="1" applyAlignment="1" applyProtection="1">
      <alignment horizontal="left" vertical="center" indent="1"/>
      <protection hidden="1"/>
    </xf>
    <xf numFmtId="14" fontId="50" fillId="0" borderId="0" xfId="0" applyNumberFormat="1" applyFont="1" applyAlignment="1" applyProtection="1">
      <alignment horizontal="left" vertical="center" indent="1"/>
      <protection hidden="1"/>
    </xf>
    <xf numFmtId="11" fontId="46" fillId="0" borderId="0" xfId="0" applyNumberFormat="1" applyFont="1" applyAlignment="1" applyProtection="1">
      <alignment horizontal="left" vertical="center" indent="1"/>
      <protection hidden="1"/>
    </xf>
    <xf numFmtId="0" fontId="52" fillId="63" borderId="0" xfId="0" applyFont="1" applyFill="1" applyAlignment="1">
      <alignment horizontal="left" vertical="center" indent="1"/>
    </xf>
    <xf numFmtId="3" fontId="52" fillId="63" borderId="0" xfId="0" applyNumberFormat="1" applyFont="1" applyFill="1" applyAlignment="1">
      <alignment horizontal="left" vertical="center" indent="1"/>
    </xf>
    <xf numFmtId="0" fontId="52" fillId="0" borderId="0" xfId="0" applyFont="1" applyAlignment="1">
      <alignment horizontal="left" vertical="center" indent="1"/>
    </xf>
    <xf numFmtId="3" fontId="52" fillId="0" borderId="0" xfId="0" applyNumberFormat="1" applyFont="1" applyAlignment="1">
      <alignment horizontal="left" vertical="center" indent="1"/>
    </xf>
    <xf numFmtId="0" fontId="52" fillId="66" borderId="0" xfId="0" applyFont="1" applyFill="1" applyAlignment="1">
      <alignment horizontal="left" vertical="center" indent="1"/>
    </xf>
    <xf numFmtId="3" fontId="52" fillId="66" borderId="0" xfId="0" applyNumberFormat="1" applyFont="1" applyFill="1" applyAlignment="1">
      <alignment horizontal="left" vertical="center" indent="1"/>
    </xf>
    <xf numFmtId="14" fontId="42" fillId="0" borderId="0" xfId="0" applyNumberFormat="1" applyFont="1" applyAlignment="1" applyProtection="1">
      <alignment horizontal="left" vertical="center" indent="1"/>
      <protection hidden="1"/>
    </xf>
    <xf numFmtId="14" fontId="1" fillId="0" borderId="0" xfId="0" applyNumberFormat="1" applyFont="1" applyAlignment="1" applyProtection="1">
      <alignment horizontal="left" vertical="center" indent="1"/>
      <protection hidden="1"/>
    </xf>
    <xf numFmtId="171" fontId="42" fillId="0" borderId="0" xfId="0" applyNumberFormat="1" applyFont="1" applyAlignment="1">
      <alignment horizontal="center" vertical="center" wrapText="1"/>
    </xf>
    <xf numFmtId="171" fontId="1" fillId="0" borderId="0" xfId="0" applyNumberFormat="1" applyFont="1" applyAlignment="1">
      <alignment horizontal="left" vertical="center" indent="1"/>
    </xf>
    <xf numFmtId="166" fontId="46" fillId="57" borderId="0" xfId="0" applyNumberFormat="1" applyFont="1" applyFill="1" applyAlignment="1" applyProtection="1">
      <alignment horizontal="left" vertical="center" indent="1"/>
      <protection hidden="1"/>
    </xf>
    <xf numFmtId="167" fontId="46" fillId="57" borderId="0" xfId="0" applyNumberFormat="1" applyFont="1" applyFill="1" applyAlignment="1" applyProtection="1">
      <alignment horizontal="left" vertical="center" indent="1"/>
      <protection hidden="1"/>
    </xf>
    <xf numFmtId="0" fontId="42" fillId="0" borderId="0" xfId="0" applyFont="1" applyAlignment="1" applyProtection="1">
      <alignment vertical="center"/>
      <protection hidden="1"/>
    </xf>
    <xf numFmtId="9" fontId="1" fillId="0" borderId="0" xfId="0" applyNumberFormat="1" applyFont="1" applyAlignment="1" applyProtection="1">
      <alignment horizontal="left" vertical="center" indent="1"/>
      <protection hidden="1"/>
    </xf>
    <xf numFmtId="167" fontId="1" fillId="0" borderId="0" xfId="0" applyNumberFormat="1" applyFont="1" applyAlignment="1" applyProtection="1">
      <alignment horizontal="left" vertical="center" indent="1"/>
      <protection hidden="1"/>
    </xf>
    <xf numFmtId="0" fontId="45" fillId="0" borderId="0" xfId="0" applyFont="1" applyAlignment="1" applyProtection="1">
      <alignment horizontal="left" vertical="center" indent="1"/>
      <protection hidden="1"/>
    </xf>
    <xf numFmtId="0" fontId="53" fillId="0" borderId="0" xfId="0" applyFont="1" applyAlignment="1" applyProtection="1">
      <alignment horizontal="left" vertical="center" indent="1"/>
      <protection hidden="1"/>
    </xf>
    <xf numFmtId="9" fontId="42" fillId="0" borderId="0" xfId="0" applyNumberFormat="1" applyFont="1" applyAlignment="1" applyProtection="1">
      <alignment horizontal="left" vertical="center" indent="1"/>
      <protection hidden="1"/>
    </xf>
    <xf numFmtId="167" fontId="42" fillId="0" borderId="0" xfId="0" applyNumberFormat="1" applyFont="1" applyAlignment="1" applyProtection="1">
      <alignment horizontal="left" vertical="center" indent="1"/>
      <protection hidden="1"/>
    </xf>
    <xf numFmtId="1" fontId="46" fillId="57" borderId="0" xfId="0" applyNumberFormat="1" applyFont="1" applyFill="1" applyAlignment="1" applyProtection="1">
      <alignment horizontal="left" vertical="center" indent="1"/>
      <protection hidden="1"/>
    </xf>
    <xf numFmtId="0" fontId="1" fillId="57" borderId="25" xfId="0" applyFont="1" applyFill="1" applyBorder="1" applyAlignment="1" applyProtection="1">
      <alignment horizontal="left" vertical="center" indent="1"/>
      <protection hidden="1"/>
    </xf>
    <xf numFmtId="1" fontId="1" fillId="55" borderId="20" xfId="0" applyNumberFormat="1" applyFont="1" applyFill="1" applyBorder="1" applyAlignment="1" applyProtection="1">
      <alignment horizontal="center" vertical="center" wrapText="1"/>
      <protection hidden="1"/>
    </xf>
    <xf numFmtId="167" fontId="42" fillId="58" borderId="20" xfId="0" applyNumberFormat="1" applyFont="1" applyFill="1" applyBorder="1" applyAlignment="1">
      <alignment horizontal="center" vertical="center" wrapText="1"/>
    </xf>
    <xf numFmtId="167" fontId="1" fillId="0" borderId="0" xfId="0" applyNumberFormat="1" applyFont="1" applyAlignment="1">
      <alignment horizontal="left" vertical="center" indent="1"/>
    </xf>
    <xf numFmtId="49" fontId="41" fillId="57" borderId="24" xfId="0" applyNumberFormat="1" applyFont="1" applyFill="1" applyBorder="1" applyAlignment="1" applyProtection="1">
      <alignment horizontal="left" vertical="center" indent="1"/>
      <protection hidden="1"/>
    </xf>
    <xf numFmtId="14" fontId="1" fillId="0" borderId="0" xfId="0" applyNumberFormat="1" applyFont="1" applyAlignment="1">
      <alignment horizontal="left" vertical="center" indent="1"/>
    </xf>
    <xf numFmtId="14" fontId="42" fillId="57" borderId="20" xfId="0" applyNumberFormat="1" applyFont="1" applyFill="1" applyBorder="1" applyAlignment="1">
      <alignment horizontal="center" vertical="center" wrapText="1"/>
    </xf>
    <xf numFmtId="0" fontId="54" fillId="58" borderId="0" xfId="0" applyFont="1" applyFill="1" applyAlignment="1">
      <alignment horizontal="left" vertical="center" indent="1"/>
    </xf>
    <xf numFmtId="3" fontId="54" fillId="58" borderId="0" xfId="0" applyNumberFormat="1" applyFont="1" applyFill="1" applyAlignment="1">
      <alignment horizontal="left" vertical="center" indent="1"/>
    </xf>
    <xf numFmtId="11" fontId="46" fillId="0" borderId="0" xfId="0" applyNumberFormat="1" applyFont="1" applyAlignment="1">
      <alignment horizontal="left" vertical="center" indent="1"/>
    </xf>
    <xf numFmtId="0" fontId="42" fillId="55" borderId="0" xfId="0" applyFont="1" applyFill="1" applyAlignment="1">
      <alignment horizontal="center" vertical="center" wrapText="1"/>
    </xf>
    <xf numFmtId="11" fontId="1" fillId="0" borderId="0" xfId="0" applyNumberFormat="1" applyFont="1" applyAlignment="1" applyProtection="1">
      <alignment horizontal="left" vertical="center" indent="1"/>
      <protection hidden="1"/>
    </xf>
    <xf numFmtId="0" fontId="1" fillId="58" borderId="20" xfId="0" applyFont="1" applyFill="1" applyBorder="1" applyAlignment="1" applyProtection="1">
      <alignment horizontal="center" vertical="center" wrapText="1"/>
      <protection hidden="1"/>
    </xf>
    <xf numFmtId="14" fontId="53" fillId="0" borderId="0" xfId="0" applyNumberFormat="1" applyFont="1" applyAlignment="1" applyProtection="1">
      <alignment horizontal="left" vertical="center" indent="1"/>
      <protection hidden="1"/>
    </xf>
    <xf numFmtId="0" fontId="40" fillId="0" borderId="0" xfId="88" applyAlignment="1">
      <alignment horizontal="left" vertical="center" indent="1"/>
    </xf>
    <xf numFmtId="0" fontId="54" fillId="0" borderId="0" xfId="0" applyFont="1"/>
    <xf numFmtId="14" fontId="54" fillId="0" borderId="0" xfId="0" applyNumberFormat="1" applyFont="1"/>
    <xf numFmtId="0" fontId="57" fillId="0" borderId="0" xfId="0" applyFont="1" applyAlignment="1">
      <alignment horizontal="left" vertical="center" indent="1"/>
    </xf>
    <xf numFmtId="0" fontId="57" fillId="0" borderId="0" xfId="0" applyFont="1"/>
    <xf numFmtId="0" fontId="58" fillId="0" borderId="0" xfId="0" applyFont="1" applyAlignment="1">
      <alignment horizontal="left" vertical="center" indent="1"/>
    </xf>
    <xf numFmtId="0" fontId="57" fillId="66" borderId="0" xfId="0" applyFont="1" applyFill="1" applyAlignment="1" applyProtection="1">
      <alignment horizontal="left" vertical="center" indent="1"/>
      <protection hidden="1"/>
    </xf>
    <xf numFmtId="0" fontId="54" fillId="0" borderId="0" xfId="0" applyFont="1" applyAlignment="1">
      <alignment horizontal="left" vertical="center" indent="1"/>
    </xf>
    <xf numFmtId="0" fontId="59" fillId="0" borderId="0" xfId="88" applyFont="1" applyAlignment="1" applyProtection="1">
      <alignment horizontal="left" vertical="center" indent="1"/>
      <protection locked="0"/>
    </xf>
    <xf numFmtId="0" fontId="59" fillId="0" borderId="0" xfId="88" applyFont="1" applyAlignment="1">
      <alignment horizontal="left" wrapText="1" indent="1"/>
    </xf>
    <xf numFmtId="0" fontId="54" fillId="0" borderId="0" xfId="0" quotePrefix="1" applyFont="1" applyAlignment="1">
      <alignment horizontal="left" wrapText="1" indent="1"/>
    </xf>
    <xf numFmtId="0" fontId="57" fillId="0" borderId="0" xfId="0" applyFont="1" applyAlignment="1" applyProtection="1">
      <alignment horizontal="left" vertical="center" indent="1"/>
      <protection locked="0"/>
    </xf>
    <xf numFmtId="0" fontId="57" fillId="0" borderId="0" xfId="0" applyFont="1" applyAlignment="1" applyProtection="1">
      <alignment horizontal="left" vertical="center" wrapText="1" indent="1"/>
      <protection locked="0"/>
    </xf>
    <xf numFmtId="3" fontId="42" fillId="0" borderId="0" xfId="0" applyNumberFormat="1" applyFont="1" applyAlignment="1">
      <alignment horizontal="center" vertical="center" wrapText="1"/>
    </xf>
    <xf numFmtId="9" fontId="1" fillId="57" borderId="25" xfId="0" applyNumberFormat="1" applyFont="1" applyFill="1" applyBorder="1" applyAlignment="1" applyProtection="1">
      <alignment horizontal="left" vertical="center" indent="1"/>
      <protection hidden="1"/>
    </xf>
    <xf numFmtId="9" fontId="1" fillId="64" borderId="20" xfId="0" applyNumberFormat="1" applyFont="1" applyFill="1" applyBorder="1" applyAlignment="1" applyProtection="1">
      <alignment horizontal="center" vertical="center" wrapText="1"/>
      <protection hidden="1"/>
    </xf>
    <xf numFmtId="169" fontId="1" fillId="0" borderId="0" xfId="0" applyNumberFormat="1" applyFont="1" applyAlignment="1" applyProtection="1">
      <alignment horizontal="left" vertical="center" indent="1"/>
      <protection hidden="1"/>
    </xf>
    <xf numFmtId="9" fontId="1" fillId="0" borderId="22" xfId="0" applyNumberFormat="1" applyFont="1" applyBorder="1" applyAlignment="1" applyProtection="1">
      <alignment horizontal="left" vertical="center" indent="1"/>
      <protection hidden="1"/>
    </xf>
    <xf numFmtId="9" fontId="1" fillId="57" borderId="0" xfId="0" applyNumberFormat="1" applyFont="1" applyFill="1" applyAlignment="1" applyProtection="1">
      <alignment horizontal="left" vertical="center" indent="1"/>
      <protection hidden="1"/>
    </xf>
    <xf numFmtId="167" fontId="1" fillId="57" borderId="0" xfId="0" applyNumberFormat="1" applyFont="1" applyFill="1" applyAlignment="1" applyProtection="1">
      <alignment horizontal="left" vertical="center" indent="1"/>
      <protection hidden="1"/>
    </xf>
    <xf numFmtId="0" fontId="49" fillId="0" borderId="0" xfId="0" applyFont="1" applyAlignment="1" applyProtection="1">
      <alignment horizontal="center" vertical="center" textRotation="90"/>
      <protection hidden="1"/>
    </xf>
    <xf numFmtId="0" fontId="49" fillId="0" borderId="29" xfId="0" applyFont="1" applyBorder="1" applyAlignment="1" applyProtection="1">
      <alignment horizontal="center" vertical="center" textRotation="90"/>
      <protection hidden="1"/>
    </xf>
    <xf numFmtId="0" fontId="0" fillId="0" borderId="0" xfId="0" applyAlignment="1"/>
    <xf numFmtId="14" fontId="60" fillId="0" borderId="0" xfId="0" applyNumberFormat="1" applyFont="1" applyAlignment="1" applyProtection="1">
      <alignment horizontal="left" vertical="center" indent="1"/>
      <protection hidden="1"/>
    </xf>
  </cellXfs>
  <cellStyles count="89">
    <cellStyle name="20% - Accent1" xfId="20" builtinId="30" customBuiltin="1"/>
    <cellStyle name="20% - Accent1 2" xfId="47" xr:uid="{00000000-0005-0000-0000-000001000000}"/>
    <cellStyle name="20% - Accent2" xfId="24" builtinId="34" customBuiltin="1"/>
    <cellStyle name="20% - Accent2 2" xfId="48" xr:uid="{00000000-0005-0000-0000-000003000000}"/>
    <cellStyle name="20% - Accent3" xfId="28" builtinId="38" customBuiltin="1"/>
    <cellStyle name="20% - Accent3 2" xfId="49" xr:uid="{00000000-0005-0000-0000-000005000000}"/>
    <cellStyle name="20% - Accent4" xfId="32" builtinId="42" customBuiltin="1"/>
    <cellStyle name="20% - Accent4 2" xfId="50" xr:uid="{00000000-0005-0000-0000-000007000000}"/>
    <cellStyle name="20% - Accent5" xfId="36" builtinId="46" customBuiltin="1"/>
    <cellStyle name="20% - Accent5 2" xfId="51" xr:uid="{00000000-0005-0000-0000-000009000000}"/>
    <cellStyle name="20% - Accent6" xfId="40" builtinId="50" customBuiltin="1"/>
    <cellStyle name="20% - Accent6 2" xfId="52" xr:uid="{00000000-0005-0000-0000-00000B000000}"/>
    <cellStyle name="40% - Accent1" xfId="21" builtinId="31" customBuiltin="1"/>
    <cellStyle name="40% - Accent1 2" xfId="53" xr:uid="{00000000-0005-0000-0000-00000D000000}"/>
    <cellStyle name="40% - Accent2" xfId="25" builtinId="35" customBuiltin="1"/>
    <cellStyle name="40% - Accent2 2" xfId="54" xr:uid="{00000000-0005-0000-0000-00000F000000}"/>
    <cellStyle name="40% - Accent3" xfId="29" builtinId="39" customBuiltin="1"/>
    <cellStyle name="40% - Accent3 2" xfId="55" xr:uid="{00000000-0005-0000-0000-000011000000}"/>
    <cellStyle name="40% - Accent4" xfId="33" builtinId="43" customBuiltin="1"/>
    <cellStyle name="40% - Accent4 2" xfId="56" xr:uid="{00000000-0005-0000-0000-000013000000}"/>
    <cellStyle name="40% - Accent5" xfId="37" builtinId="47" customBuiltin="1"/>
    <cellStyle name="40% - Accent5 2" xfId="57" xr:uid="{00000000-0005-0000-0000-000015000000}"/>
    <cellStyle name="40% - Accent6" xfId="41" builtinId="51" customBuiltin="1"/>
    <cellStyle name="40% - Accent6 2" xfId="58" xr:uid="{00000000-0005-0000-0000-000017000000}"/>
    <cellStyle name="60% - Accent1" xfId="22" builtinId="32" customBuiltin="1"/>
    <cellStyle name="60% - Accent1 2" xfId="59" xr:uid="{00000000-0005-0000-0000-000019000000}"/>
    <cellStyle name="60% - Accent2" xfId="26" builtinId="36" customBuiltin="1"/>
    <cellStyle name="60% - Accent2 2" xfId="60" xr:uid="{00000000-0005-0000-0000-00001B000000}"/>
    <cellStyle name="60% - Accent3" xfId="30" builtinId="40" customBuiltin="1"/>
    <cellStyle name="60% - Accent3 2" xfId="61" xr:uid="{00000000-0005-0000-0000-00001D000000}"/>
    <cellStyle name="60% - Accent4" xfId="34" builtinId="44" customBuiltin="1"/>
    <cellStyle name="60% - Accent4 2" xfId="62" xr:uid="{00000000-0005-0000-0000-00001F000000}"/>
    <cellStyle name="60% - Accent5" xfId="38" builtinId="48" customBuiltin="1"/>
    <cellStyle name="60% - Accent5 2" xfId="63" xr:uid="{00000000-0005-0000-0000-000021000000}"/>
    <cellStyle name="60% - Accent6" xfId="42" builtinId="52" customBuiltin="1"/>
    <cellStyle name="60% - Accent6 2" xfId="64" xr:uid="{00000000-0005-0000-0000-000023000000}"/>
    <cellStyle name="Accent1" xfId="19" builtinId="29" customBuiltin="1"/>
    <cellStyle name="Accent1 2" xfId="65" xr:uid="{00000000-0005-0000-0000-000025000000}"/>
    <cellStyle name="Accent2" xfId="23" builtinId="33" customBuiltin="1"/>
    <cellStyle name="Accent2 2" xfId="66" xr:uid="{00000000-0005-0000-0000-000027000000}"/>
    <cellStyle name="Accent3" xfId="27" builtinId="37" customBuiltin="1"/>
    <cellStyle name="Accent3 2" xfId="67" xr:uid="{00000000-0005-0000-0000-000029000000}"/>
    <cellStyle name="Accent4" xfId="31" builtinId="41" customBuiltin="1"/>
    <cellStyle name="Accent4 2" xfId="68" xr:uid="{00000000-0005-0000-0000-00002B000000}"/>
    <cellStyle name="Accent5" xfId="35" builtinId="45" customBuiltin="1"/>
    <cellStyle name="Accent5 2" xfId="69" xr:uid="{00000000-0005-0000-0000-00002D000000}"/>
    <cellStyle name="Accent6" xfId="39" builtinId="49" customBuiltin="1"/>
    <cellStyle name="Accent6 2" xfId="70" xr:uid="{00000000-0005-0000-0000-00002F000000}"/>
    <cellStyle name="Bad" xfId="8" builtinId="27" customBuiltin="1"/>
    <cellStyle name="Bad 2" xfId="71" xr:uid="{00000000-0005-0000-0000-000031000000}"/>
    <cellStyle name="Calculation" xfId="12" builtinId="22" customBuiltin="1"/>
    <cellStyle name="Calculation 2" xfId="72" xr:uid="{00000000-0005-0000-0000-000033000000}"/>
    <cellStyle name="Check Cell" xfId="14" builtinId="23" customBuiltin="1"/>
    <cellStyle name="Check Cell 2" xfId="73" xr:uid="{00000000-0005-0000-0000-000035000000}"/>
    <cellStyle name="Explanatory Text" xfId="17" builtinId="53" customBuiltin="1"/>
    <cellStyle name="Explanatory Text 2" xfId="74" xr:uid="{00000000-0005-0000-0000-000037000000}"/>
    <cellStyle name="Good" xfId="7" builtinId="26" customBuiltin="1"/>
    <cellStyle name="Good 2" xfId="75" xr:uid="{00000000-0005-0000-0000-000039000000}"/>
    <cellStyle name="Heading 1" xfId="3" builtinId="16" customBuiltin="1"/>
    <cellStyle name="Heading 1 2" xfId="76" xr:uid="{00000000-0005-0000-0000-00003B000000}"/>
    <cellStyle name="Heading 2" xfId="4" builtinId="17" customBuiltin="1"/>
    <cellStyle name="Heading 2 2" xfId="77" xr:uid="{00000000-0005-0000-0000-00003D000000}"/>
    <cellStyle name="Heading 3" xfId="5" builtinId="18" customBuiltin="1"/>
    <cellStyle name="Heading 3 2" xfId="78" xr:uid="{00000000-0005-0000-0000-00003F000000}"/>
    <cellStyle name="Heading 4" xfId="6" builtinId="19" customBuiltin="1"/>
    <cellStyle name="Heading 4 2" xfId="79" xr:uid="{00000000-0005-0000-0000-000041000000}"/>
    <cellStyle name="Hyperlink" xfId="88" builtinId="8"/>
    <cellStyle name="Input" xfId="10" builtinId="20" customBuiltin="1"/>
    <cellStyle name="Input 2" xfId="80" xr:uid="{00000000-0005-0000-0000-000044000000}"/>
    <cellStyle name="Linked Cell" xfId="13" builtinId="24" customBuiltin="1"/>
    <cellStyle name="Linked Cell 2" xfId="81" xr:uid="{00000000-0005-0000-0000-000046000000}"/>
    <cellStyle name="Neutral" xfId="9" builtinId="28" customBuiltin="1"/>
    <cellStyle name="Neutral 2" xfId="82" xr:uid="{00000000-0005-0000-0000-000048000000}"/>
    <cellStyle name="Normal" xfId="0" builtinId="0"/>
    <cellStyle name="Normal 2" xfId="1" xr:uid="{00000000-0005-0000-0000-00004A000000}"/>
    <cellStyle name="Normal 2 2" xfId="43" xr:uid="{00000000-0005-0000-0000-00004B000000}"/>
    <cellStyle name="Normal 3" xfId="44" xr:uid="{00000000-0005-0000-0000-00004C000000}"/>
    <cellStyle name="Note" xfId="16" builtinId="10" customBuiltin="1"/>
    <cellStyle name="Note 2" xfId="83" xr:uid="{00000000-0005-0000-0000-00004E000000}"/>
    <cellStyle name="Output" xfId="11" builtinId="21" customBuiltin="1"/>
    <cellStyle name="Output 2" xfId="84" xr:uid="{00000000-0005-0000-0000-000050000000}"/>
    <cellStyle name="Percent 2" xfId="45" xr:uid="{00000000-0005-0000-0000-000051000000}"/>
    <cellStyle name="Percent 3" xfId="46" xr:uid="{00000000-0005-0000-0000-000052000000}"/>
    <cellStyle name="Title" xfId="2" builtinId="15" customBuiltin="1"/>
    <cellStyle name="Title 2" xfId="85" xr:uid="{00000000-0005-0000-0000-000054000000}"/>
    <cellStyle name="Total" xfId="18" builtinId="25" customBuiltin="1"/>
    <cellStyle name="Total 2" xfId="86" xr:uid="{00000000-0005-0000-0000-000056000000}"/>
    <cellStyle name="Warning Text" xfId="15" builtinId="11" customBuiltin="1"/>
    <cellStyle name="Warning Text 2" xfId="87" xr:uid="{00000000-0005-0000-0000-000058000000}"/>
  </cellStyles>
  <dxfs count="96">
    <dxf>
      <fill>
        <patternFill>
          <bgColor theme="8" tint="0.79998168889431442"/>
        </patternFill>
      </fill>
    </dxf>
    <dxf>
      <font>
        <b/>
        <i val="0"/>
        <color rgb="FFFF0000"/>
      </font>
    </dxf>
    <dxf>
      <fill>
        <patternFill>
          <bgColor rgb="FFE565D6"/>
        </patternFill>
      </fill>
    </dxf>
    <dxf>
      <fill>
        <patternFill>
          <bgColor rgb="FFFF99FF"/>
        </patternFill>
      </fill>
    </dxf>
    <dxf>
      <fill>
        <patternFill>
          <bgColor rgb="FF889FE8"/>
        </patternFill>
      </fill>
    </dxf>
    <dxf>
      <fill>
        <patternFill>
          <bgColor rgb="FFFFAC6F"/>
        </patternFill>
      </fill>
    </dxf>
    <dxf>
      <fill>
        <patternFill>
          <bgColor rgb="FF5B9BD5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3" formatCode="#,##0"/>
      <fill>
        <patternFill patternType="solid">
          <fgColor indexed="64"/>
          <bgColor theme="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solid">
          <fgColor indexed="64"/>
          <bgColor theme="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solid">
          <fgColor indexed="64"/>
          <bgColor theme="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solid">
          <fgColor indexed="64"/>
          <bgColor theme="8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 Light"/>
        <family val="2"/>
        <charset val="186"/>
        <scheme val="none"/>
      </font>
      <alignment horizontal="left" vertical="center" textRotation="0" wrapText="0" relative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 Light"/>
        <family val="2"/>
        <charset val="186"/>
        <scheme val="none"/>
      </font>
      <alignment horizontal="left" vertical="center" textRotation="0" wrapText="0" relative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 Light"/>
        <family val="2"/>
        <charset val="186"/>
        <scheme val="none"/>
      </font>
      <alignment horizontal="lef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 Light"/>
        <family val="2"/>
        <charset val="186"/>
        <scheme val="none"/>
      </font>
      <alignment horizontal="left" vertical="center" textRotation="0" wrapText="0" relativeIndent="1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FF0000"/>
      </font>
    </dxf>
    <dxf>
      <font>
        <b val="0"/>
        <i val="0"/>
        <color rgb="FF00B05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FF0000"/>
      </font>
    </dxf>
    <dxf>
      <fill>
        <patternFill>
          <bgColor rgb="FFE565D6"/>
        </patternFill>
      </fill>
    </dxf>
    <dxf>
      <fill>
        <patternFill>
          <bgColor rgb="FFFF99FF"/>
        </patternFill>
      </fill>
    </dxf>
    <dxf>
      <fill>
        <patternFill>
          <bgColor rgb="FF889FE8"/>
        </patternFill>
      </fill>
    </dxf>
    <dxf>
      <fill>
        <patternFill>
          <bgColor rgb="FFFFAC6F"/>
        </patternFill>
      </fill>
    </dxf>
    <dxf>
      <fill>
        <patternFill>
          <bgColor rgb="FF5B9BD5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19" formatCode="yyyy/mm/dd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19" formatCode="yyyy/mm/dd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19" formatCode="yyyy/mm/dd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  <numFmt numFmtId="19" formatCode="yyyy/mm/dd"/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 Light"/>
        <family val="2"/>
        <charset val="186"/>
        <scheme val="none"/>
      </font>
    </dxf>
  </dxfs>
  <tableStyles count="0" defaultTableStyle="TableStyleMedium2" defaultPivotStyle="PivotStyleLight16"/>
  <colors>
    <mruColors>
      <color rgb="FFFFAC6F"/>
      <color rgb="FFFF9999"/>
      <color rgb="FFFFC000"/>
      <color rgb="FFE565D6"/>
      <color rgb="FFFFFF01"/>
      <color rgb="FFFF99FF"/>
      <color rgb="FF889FE8"/>
      <color rgb="FF5B9BD5"/>
      <color rgb="FF9999FF"/>
      <color rgb="FFFFE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182880</xdr:colOff>
      <xdr:row>0</xdr:row>
      <xdr:rowOff>182880</xdr:rowOff>
    </xdr:from>
    <xdr:to>
      <xdr:col>28</xdr:col>
      <xdr:colOff>48623</xdr:colOff>
      <xdr:row>31</xdr:row>
      <xdr:rowOff>161109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798D15D-511C-C1FE-78FC-4A0B42E70E3B}"/>
            </a:ext>
          </a:extLst>
        </xdr:cNvPr>
        <xdr:cNvSpPr/>
      </xdr:nvSpPr>
      <xdr:spPr>
        <a:xfrm>
          <a:off x="182880" y="182880"/>
          <a:ext cx="16510000" cy="5715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183243</xdr:colOff>
      <xdr:row>23</xdr:row>
      <xdr:rowOff>125186</xdr:rowOff>
    </xdr:from>
    <xdr:to>
      <xdr:col>28</xdr:col>
      <xdr:colOff>5443</xdr:colOff>
      <xdr:row>31</xdr:row>
      <xdr:rowOff>117929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DD7E4AA-FE4C-921E-AC10-37A8DE025F13}"/>
            </a:ext>
          </a:extLst>
        </xdr:cNvPr>
        <xdr:cNvSpPr/>
      </xdr:nvSpPr>
      <xdr:spPr>
        <a:xfrm>
          <a:off x="8293100" y="4381500"/>
          <a:ext cx="8356600" cy="147320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1PS-20 (1160x6580)</a:t>
          </a:r>
        </a:p>
      </xdr:txBody>
    </xdr:sp>
    <xdr:clientData/>
  </xdr:twoCellAnchor>
  <xdr:twoCellAnchor>
    <xdr:from>
      <xdr:col>14</xdr:col>
      <xdr:colOff>602343</xdr:colOff>
      <xdr:row>12</xdr:row>
      <xdr:rowOff>52614</xdr:rowOff>
    </xdr:from>
    <xdr:to>
      <xdr:col>28</xdr:col>
      <xdr:colOff>5443</xdr:colOff>
      <xdr:row>20</xdr:row>
      <xdr:rowOff>45357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AE1A93F-5A12-AC7C-DC43-31B6A6136BBD}"/>
            </a:ext>
          </a:extLst>
        </xdr:cNvPr>
        <xdr:cNvSpPr/>
      </xdr:nvSpPr>
      <xdr:spPr>
        <a:xfrm>
          <a:off x="8712200" y="2273300"/>
          <a:ext cx="7937500" cy="147320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1PS-21 (1160x6250)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28574AEB-2121-487D-9440-330EF2008F22}" autoFormatId="16" applyNumberFormats="0" applyBorderFormats="0" applyFontFormats="0" applyPatternFormats="0" applyAlignmentFormats="0" applyWidthHeightFormats="0">
  <queryTableRefresh nextId="4">
    <queryTableFields count="3">
      <queryTableField id="1" name="data" tableColumnId="1"/>
      <queryTableField id="2" name="sav. diena" tableColumnId="2"/>
      <queryTableField id="3" name="pavadinimas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8868DAA-2887-4E18-B546-D151F2484550}" autoFormatId="16" applyNumberFormats="0" applyBorderFormats="0" applyFontFormats="0" applyPatternFormats="0" applyAlignmentFormats="0" applyWidthHeightFormats="0">
  <queryTableRefresh nextId="4">
    <queryTableFields count="3">
      <queryTableField id="1" name="Prefiksas" tableColumnId="1"/>
      <queryTableField id="2" name="Gaminiu grupe" tableColumnId="2"/>
      <queryTableField id="3" name="Reikalavimu folderis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7A1F2DA2-BA7C-488D-8ACD-6379D9DD753C}" autoFormatId="16" applyNumberFormats="0" applyBorderFormats="0" applyFontFormats="0" applyPatternFormats="0" applyAlignmentFormats="0" applyWidthHeightFormats="0">
  <queryTableRefresh nextId="261">
    <queryTableFields count="54">
      <queryTableField id="8" name="project_id" tableColumnId="8"/>
      <queryTableField id="12" name="position" tableColumnId="12"/>
      <queryTableField id="123" name="GAMINIU_GRUPE" tableColumnId="3"/>
      <queryTableField id="255" name="KIEKIS" tableColumnId="4"/>
      <queryTableField id="17" name="height_total_mm" tableColumnId="17"/>
      <queryTableField id="15" name="length_total_mm" tableColumnId="15"/>
      <queryTableField id="16" name="width_total_mm" tableColumnId="16"/>
      <queryTableField id="18" name="weight_kg" tableColumnId="18"/>
      <queryTableField id="23" name="delivery_id" tableColumnId="23"/>
      <queryTableField id="22" name="erection_sequence" tableColumnId="22"/>
      <queryTableField id="28" name="actual_date_design" tableColumnId="28"/>
      <queryTableField id="253" name="PROJEKTAVIMO PASTABOS" tableColumnId="93"/>
      <queryTableField id="34" name="planned_date_loading" tableColumnId="34"/>
      <queryTableField id="183" name="N" tableColumnId="58"/>
      <queryTableField id="184" name="O" tableColumnId="59"/>
      <queryTableField id="185" name="P" tableColumnId="60"/>
      <queryTableField id="186" name="Q" tableColumnId="61"/>
      <queryTableField id="187" name="R" tableColumnId="62"/>
      <queryTableField id="188" name="S" tableColumnId="63"/>
      <queryTableField id="189" name="T" tableColumnId="64"/>
      <queryTableField id="190" name="U" tableColumnId="65"/>
      <queryTableField id="191" name="V" tableColumnId="66"/>
      <queryTableField id="20" name="concrete_volume_m3" tableColumnId="20"/>
      <queryTableField id="192" name="X" tableColumnId="67"/>
      <queryTableField id="193" name="Y" tableColumnId="68"/>
      <queryTableField id="194" name="Z" tableColumnId="69"/>
      <queryTableField id="195" name="AA" tableColumnId="70"/>
      <queryTableField id="196" name="AB" tableColumnId="71"/>
      <queryTableField id="197" name="AC" tableColumnId="72"/>
      <queryTableField id="198" name="BETONO_KLASE" tableColumnId="73"/>
      <queryTableField id="199" name="AE" tableColumnId="74"/>
      <queryTableField id="24" name="master_plan_stage" tableColumnId="24"/>
      <queryTableField id="25" name="master_plan_floor" tableColumnId="25"/>
      <queryTableField id="200" name="AH" tableColumnId="75"/>
      <queryTableField id="201" name="AI" tableColumnId="76"/>
      <queryTableField id="202" name="AJ" tableColumnId="77"/>
      <queryTableField id="203" name="AK" tableColumnId="78"/>
      <queryTableField id="79" name="transport_scheme" tableColumnId="79"/>
      <queryTableField id="121" name="planned_date_erection" tableColumnId="2"/>
      <queryTableField id="204" name="AN" tableColumnId="80"/>
      <queryTableField id="205" name="AO" tableColumnId="81"/>
      <queryTableField id="257" name="KARKASU_KIEKIS" tableColumnId="5"/>
      <queryTableField id="258" name="METALO_MASE_KG" tableColumnId="7"/>
      <queryTableField id="208" name="AR" tableColumnId="84"/>
      <queryTableField id="209" name="AS" tableColumnId="85"/>
      <queryTableField id="210" name="AT" tableColumnId="86"/>
      <queryTableField id="211" name="AU" tableColumnId="87"/>
      <queryTableField id="212" name="AV" tableColumnId="88"/>
      <queryTableField id="213" name="AW" tableColumnId="89"/>
      <queryTableField id="214" name="AX" tableColumnId="90"/>
      <queryTableField id="215" name="AY" tableColumnId="91"/>
      <queryTableField id="216" name="AZ" tableColumnId="92"/>
      <queryTableField id="6" name="external_id" tableColumnId="6"/>
      <queryTableField id="120" name="id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D58DE22-3A08-4CE2-A1B0-DA9D981C8443}" name="table_nedarbo_dienos" displayName="table_nedarbo_dienos" ref="A1:C95" tableType="queryTable" totalsRowShown="0" headerRowDxfId="95" dataDxfId="94">
  <autoFilter ref="A1:C95" xr:uid="{6D58DE22-3A08-4CE2-A1B0-DA9D981C8443}"/>
  <tableColumns count="3">
    <tableColumn id="1" xr3:uid="{AC277E6D-2CA7-4FD1-A1F6-5721A25BD0B1}" uniqueName="1" name="data" queryTableFieldId="1" dataDxfId="93"/>
    <tableColumn id="2" xr3:uid="{EDCE721F-40E9-4484-9D32-0E69C7CE1717}" uniqueName="2" name="sav. diena" queryTableFieldId="2" dataDxfId="92"/>
    <tableColumn id="3" xr3:uid="{49CEA6BD-A54D-4577-84D5-6DF0FDEFD455}" uniqueName="3" name="pavadinimas" queryTableFieldId="3" dataDxfId="9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C52180-E532-426E-8606-417F239CE0FF}" name="table_gaminiu_grupes" displayName="table_gaminiu_grupes" ref="A1:C82" tableType="queryTable" totalsRowShown="0" headerRowDxfId="90" dataDxfId="89">
  <autoFilter ref="A1:C82" xr:uid="{FFC52180-E532-426E-8606-417F239CE0FF}"/>
  <tableColumns count="3">
    <tableColumn id="1" xr3:uid="{3284FA19-59DE-4143-97E8-882C49575741}" uniqueName="1" name="Prefiksas" queryTableFieldId="1" dataDxfId="88"/>
    <tableColumn id="2" xr3:uid="{178AE523-BD41-456C-9963-1D99B597517F}" uniqueName="2" name="Gaminiu grupe" queryTableFieldId="2" dataDxfId="87"/>
    <tableColumn id="3" xr3:uid="{B22D992C-7660-4D56-B298-FA5C17B23A94}" uniqueName="3" name="Reikalavimu folderis" queryTableFieldId="3" dataDxfId="8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2D4AFA-BC51-4A41-8617-432EA41ACEB4}" name="Table_product" displayName="Table_product" ref="A1:BB317" tableType="queryTable" totalsRowShown="0" headerRowDxfId="85" dataDxfId="84">
  <autoFilter ref="A1:BB317" xr:uid="{182D4AFA-BC51-4A41-8617-432EA41ACEB4}"/>
  <tableColumns count="54">
    <tableColumn id="8" xr3:uid="{629E640D-D56F-48C5-856C-B9CF56D17E01}" uniqueName="8" name="project_id" queryTableFieldId="8" dataDxfId="83"/>
    <tableColumn id="12" xr3:uid="{9C6B3E55-347A-47EB-BA19-81348F229B3D}" uniqueName="12" name="position" queryTableFieldId="12" dataDxfId="82"/>
    <tableColumn id="3" xr3:uid="{6C528C28-338C-4C7D-AF3B-C09971EFCC35}" uniqueName="3" name="GAMINIU_GRUPE" queryTableFieldId="123" dataDxfId="81"/>
    <tableColumn id="4" xr3:uid="{63D0D549-2AB7-4AB1-8D7E-821F33DD165E}" uniqueName="4" name="KIEKIS" queryTableFieldId="255" dataDxfId="80"/>
    <tableColumn id="17" xr3:uid="{72D21375-1EE4-4443-9C7E-ED0397FE518E}" uniqueName="17" name="height_total_mm" queryTableFieldId="17" dataDxfId="79"/>
    <tableColumn id="15" xr3:uid="{AF1158CA-B0AA-4491-BB39-C531F235AA1C}" uniqueName="15" name="length_total_mm" queryTableFieldId="15" dataDxfId="78"/>
    <tableColumn id="16" xr3:uid="{CB2A20DB-1C65-4BEE-A8D5-55A571691CA7}" uniqueName="16" name="width_total_mm" queryTableFieldId="16" dataDxfId="77"/>
    <tableColumn id="18" xr3:uid="{00D32F52-7A2B-4513-A62B-30E579420AE1}" uniqueName="18" name="weight_kg" queryTableFieldId="18" dataDxfId="76"/>
    <tableColumn id="23" xr3:uid="{EB5AACF3-0F09-4437-BD19-C4833C46DABF}" uniqueName="23" name="delivery_id" queryTableFieldId="23" dataDxfId="75"/>
    <tableColumn id="22" xr3:uid="{0B384FA6-8F3A-4283-AC1E-A54B9D10CBEA}" uniqueName="22" name="erection_sequence" queryTableFieldId="22" dataDxfId="74"/>
    <tableColumn id="28" xr3:uid="{42EAC4CC-3B3F-4EBF-A7C8-9736C7FB81BF}" uniqueName="28" name="actual_date_design" queryTableFieldId="28" dataDxfId="73"/>
    <tableColumn id="93" xr3:uid="{4F7F6476-7611-41A9-98BD-385147FE95AF}" uniqueName="93" name="PROJEKTAVIMO PASTABOS" queryTableFieldId="253" dataDxfId="72"/>
    <tableColumn id="34" xr3:uid="{8228E36E-3920-41F8-9FF6-7CC431AE9B5E}" uniqueName="34" name="planned_date_loading" queryTableFieldId="34" dataDxfId="71"/>
    <tableColumn id="58" xr3:uid="{BC4876CC-D7F8-4EE3-BFB3-4BC03C19AC62}" uniqueName="58" name="N" queryTableFieldId="183" dataDxfId="70"/>
    <tableColumn id="59" xr3:uid="{6F00438C-1F61-4413-BA7D-AC8B08E9CEC7}" uniqueName="59" name="O" queryTableFieldId="184" dataDxfId="69"/>
    <tableColumn id="60" xr3:uid="{81D798AE-2776-40E6-B920-483EDBB0703F}" uniqueName="60" name="P" queryTableFieldId="185" dataDxfId="68"/>
    <tableColumn id="61" xr3:uid="{5CDBBC9B-C8E9-47AE-927E-E03417351084}" uniqueName="61" name="Q" queryTableFieldId="186" dataDxfId="67"/>
    <tableColumn id="62" xr3:uid="{36BE2178-B221-41A1-98C2-469553C557D1}" uniqueName="62" name="R" queryTableFieldId="187" dataDxfId="66"/>
    <tableColumn id="63" xr3:uid="{1953C55F-D2BB-49B9-A547-564F6E9A8B94}" uniqueName="63" name="S" queryTableFieldId="188" dataDxfId="65"/>
    <tableColumn id="64" xr3:uid="{5272E70B-96FF-45A5-BA95-C139D89C21BE}" uniqueName="64" name="T" queryTableFieldId="189" dataDxfId="64"/>
    <tableColumn id="65" xr3:uid="{5A1E3A66-C625-47D0-8DE3-90D90ABE5886}" uniqueName="65" name="U" queryTableFieldId="190" dataDxfId="63"/>
    <tableColumn id="66" xr3:uid="{6BA76330-A4A4-4556-BEBB-06B66FE433B2}" uniqueName="66" name="V" queryTableFieldId="191" dataDxfId="62"/>
    <tableColumn id="20" xr3:uid="{1F2A7BC0-1C3C-4A13-8A5F-CC33B81A67BC}" uniqueName="20" name="concrete_volume_m3" queryTableFieldId="20" dataDxfId="61"/>
    <tableColumn id="67" xr3:uid="{16F010C9-140C-48BE-93FC-FA3D61B8F46E}" uniqueName="67" name="X" queryTableFieldId="192" dataDxfId="60"/>
    <tableColumn id="68" xr3:uid="{3BFD8606-BE77-411D-BC95-9ED04B098590}" uniqueName="68" name="Y" queryTableFieldId="193" dataDxfId="59"/>
    <tableColumn id="69" xr3:uid="{14CBF2D6-413D-45DE-AB30-4F95EA16876A}" uniqueName="69" name="Z" queryTableFieldId="194" dataDxfId="58"/>
    <tableColumn id="70" xr3:uid="{276D72B7-2E5F-44E2-A35F-7900683C972D}" uniqueName="70" name="AA" queryTableFieldId="195" dataDxfId="57"/>
    <tableColumn id="71" xr3:uid="{D00189F0-E058-4012-A376-1C2DE817FB5F}" uniqueName="71" name="AB" queryTableFieldId="196" dataDxfId="56"/>
    <tableColumn id="72" xr3:uid="{2B637ECD-9902-42FC-879B-0B7CF154BD7A}" uniqueName="72" name="AC" queryTableFieldId="197" dataDxfId="55"/>
    <tableColumn id="73" xr3:uid="{571C0368-DC10-4596-9148-08011717FEFF}" uniqueName="73" name="BETONO_KLASE" queryTableFieldId="198" dataDxfId="54"/>
    <tableColumn id="74" xr3:uid="{9FE213ED-7FCE-4EBD-A84B-67DC017218CD}" uniqueName="74" name="AE" queryTableFieldId="199" dataDxfId="53"/>
    <tableColumn id="24" xr3:uid="{55C090C0-FE19-4FA5-8033-EF03F625AFF2}" uniqueName="24" name="master_plan_stage" queryTableFieldId="24" dataDxfId="52"/>
    <tableColumn id="25" xr3:uid="{80013F27-EC43-40C0-9E1B-A01EBC598CBB}" uniqueName="25" name="master_plan_floor" queryTableFieldId="25" dataDxfId="51"/>
    <tableColumn id="75" xr3:uid="{58AA7862-12FD-45BD-8C67-2953131B768F}" uniqueName="75" name="AH" queryTableFieldId="200" dataDxfId="50"/>
    <tableColumn id="76" xr3:uid="{E89A9CCF-934F-4E85-87C2-DDF2F8D06066}" uniqueName="76" name="AI" queryTableFieldId="201" dataDxfId="49"/>
    <tableColumn id="77" xr3:uid="{FDABBA24-7200-475B-A090-A4B11EC0DF7A}" uniqueName="77" name="AJ" queryTableFieldId="202" dataDxfId="48"/>
    <tableColumn id="78" xr3:uid="{15D36C39-BCA8-4212-B031-FABD39F6AD1B}" uniqueName="78" name="AK" queryTableFieldId="203" dataDxfId="47"/>
    <tableColumn id="79" xr3:uid="{70B75E81-344C-49C2-9B1E-39F934B2B07C}" uniqueName="79" name="transport_scheme" queryTableFieldId="79" dataDxfId="46"/>
    <tableColumn id="2" xr3:uid="{BB4C93AB-4D31-4129-9012-2466CB6341B2}" uniqueName="2" name="planned_date_erection" queryTableFieldId="121" dataDxfId="45"/>
    <tableColumn id="80" xr3:uid="{8BBB8070-D2A3-46F6-B7FC-31585F8D57BA}" uniqueName="80" name="AN" queryTableFieldId="204" dataDxfId="44"/>
    <tableColumn id="81" xr3:uid="{A83E279A-4424-4FE2-88EA-30606E0AE8C0}" uniqueName="81" name="AO" queryTableFieldId="205" dataDxfId="43"/>
    <tableColumn id="5" xr3:uid="{CB015C4C-E123-4B09-AEEC-174AEA1C590E}" uniqueName="5" name="KARKASU_KIEKIS" queryTableFieldId="257" dataDxfId="42"/>
    <tableColumn id="7" xr3:uid="{1519271A-808E-4B12-90AE-0C05E8651458}" uniqueName="7" name="METALO_MASE_KG" queryTableFieldId="258" dataDxfId="41"/>
    <tableColumn id="84" xr3:uid="{A2CC5ED0-37DE-4ADB-AA23-2C7E8BEB92ED}" uniqueName="84" name="AR" queryTableFieldId="208" dataDxfId="40"/>
    <tableColumn id="85" xr3:uid="{2B70D09C-2E4B-4CEF-8613-34AA7BF58E92}" uniqueName="85" name="AS" queryTableFieldId="209" dataDxfId="39"/>
    <tableColumn id="86" xr3:uid="{C9C26BF0-0580-4A78-93C9-C7F5FD2B4A5C}" uniqueName="86" name="AT" queryTableFieldId="210" dataDxfId="38"/>
    <tableColumn id="87" xr3:uid="{5DA9848D-E059-4704-A7C5-2157D55EB64F}" uniqueName="87" name="AU" queryTableFieldId="211" dataDxfId="37"/>
    <tableColumn id="88" xr3:uid="{A2348A63-B637-445E-A05F-2A8FB01FF3A0}" uniqueName="88" name="AV" queryTableFieldId="212" dataDxfId="36"/>
    <tableColumn id="89" xr3:uid="{E1359DA0-F491-4F51-BF71-A4696773F1AA}" uniqueName="89" name="AW" queryTableFieldId="213" dataDxfId="35"/>
    <tableColumn id="90" xr3:uid="{36B458B9-2C61-451D-A101-4892486DEDAA}" uniqueName="90" name="AX" queryTableFieldId="214" dataDxfId="34"/>
    <tableColumn id="91" xr3:uid="{37C4D44D-79E9-4D47-AE5E-FF970CE4BE95}" uniqueName="91" name="AY" queryTableFieldId="215" dataDxfId="33"/>
    <tableColumn id="92" xr3:uid="{3BCBC33E-0186-48A3-9CDB-6D6C70A9661C}" uniqueName="92" name="AZ" queryTableFieldId="216" dataDxfId="32"/>
    <tableColumn id="6" xr3:uid="{6FDFFCA4-4EE8-4B7E-B6FA-C14A3075E879}" uniqueName="6" name="external_id" queryTableFieldId="6" dataDxfId="31"/>
    <tableColumn id="1" xr3:uid="{DCAEE146-1302-44E1-8D1D-A462805FB0AB}" uniqueName="1" name="id" queryTableFieldId="120" dataDxfId="3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_nustatymai" displayName="table_nustatymai" ref="A1:B22" totalsRowShown="0" headerRowDxfId="16" dataDxfId="15">
  <tableColumns count="2">
    <tableColumn id="1" xr3:uid="{00000000-0010-0000-0100-000001000000}" name="Parametras" dataDxfId="14"/>
    <tableColumn id="2" xr3:uid="{00000000-0010-0000-0100-000002000000}" name="Reikšmė" dataDxfId="13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e_stalai" displayName="table_stalai" ref="A1:C41" totalsRowShown="0" headerRowDxfId="12">
  <autoFilter ref="A1:C41" xr:uid="{00000000-0009-0000-0100-000005000000}"/>
  <tableColumns count="3">
    <tableColumn id="1" xr3:uid="{00000000-0010-0000-0300-000001000000}" name="Stalo pavadinimas" dataDxfId="11"/>
    <tableColumn id="2" xr3:uid="{00000000-0010-0000-0300-000002000000}" name="Parametras" dataDxfId="10"/>
    <tableColumn id="3" xr3:uid="{00000000-0010-0000-0300-000003000000}" name="Reikšmė" dataDxfId="9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hyperlink" Target="../TEKLA%20PVF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../TEKLA%20PVF/" TargetMode="External"/><Relationship Id="rId1" Type="http://schemas.openxmlformats.org/officeDocument/2006/relationships/hyperlink" Target="../../Tekla%20raportai/" TargetMode="External"/><Relationship Id="rId6" Type="http://schemas.openxmlformats.org/officeDocument/2006/relationships/hyperlink" Target="mailto:e.grigonis@inhus.eu;" TargetMode="External"/><Relationship Id="rId5" Type="http://schemas.openxmlformats.org/officeDocument/2006/relationships/hyperlink" Target="../Gamyba/" TargetMode="External"/><Relationship Id="rId4" Type="http://schemas.openxmlformats.org/officeDocument/2006/relationships/hyperlink" Target="../../Tekla%20raportai/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7027-A226-4DB4-9D8B-DE826632652D}">
  <sheetPr codeName="Sheet23">
    <tabColor theme="9"/>
  </sheetPr>
  <dimension ref="A1:C95"/>
  <sheetViews>
    <sheetView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1" width="10.33203125" style="125" bestFit="1" customWidth="1"/>
    <col min="2" max="2" width="12.109375" style="125" bestFit="1" customWidth="1"/>
    <col min="3" max="3" width="31.33203125" style="125" bestFit="1" customWidth="1"/>
    <col min="4" max="16384" width="9.109375" style="125"/>
  </cols>
  <sheetData>
    <row r="1" spans="1:3" x14ac:dyDescent="0.3">
      <c r="A1" s="125" t="s">
        <v>24</v>
      </c>
      <c r="B1" s="125" t="s">
        <v>25</v>
      </c>
      <c r="C1" s="125" t="s">
        <v>26</v>
      </c>
    </row>
    <row r="2" spans="1:3" x14ac:dyDescent="0.3">
      <c r="A2" s="126">
        <v>42231</v>
      </c>
      <c r="B2" s="125" t="s">
        <v>745</v>
      </c>
      <c r="C2" s="125" t="s">
        <v>27</v>
      </c>
    </row>
    <row r="3" spans="1:3" x14ac:dyDescent="0.3">
      <c r="A3" s="126">
        <v>42309</v>
      </c>
      <c r="B3" s="125" t="s">
        <v>746</v>
      </c>
      <c r="C3" s="125" t="s">
        <v>28</v>
      </c>
    </row>
    <row r="4" spans="1:3" x14ac:dyDescent="0.3">
      <c r="A4" s="126">
        <v>42362</v>
      </c>
      <c r="B4" s="125" t="s">
        <v>747</v>
      </c>
      <c r="C4" s="125" t="s">
        <v>29</v>
      </c>
    </row>
    <row r="5" spans="1:3" x14ac:dyDescent="0.3">
      <c r="A5" s="126">
        <v>42363</v>
      </c>
      <c r="B5" s="125" t="s">
        <v>748</v>
      </c>
      <c r="C5" s="125" t="s">
        <v>30</v>
      </c>
    </row>
    <row r="6" spans="1:3" x14ac:dyDescent="0.3">
      <c r="A6" s="126">
        <v>42364</v>
      </c>
      <c r="B6" s="125" t="s">
        <v>745</v>
      </c>
      <c r="C6" s="125" t="s">
        <v>31</v>
      </c>
    </row>
    <row r="7" spans="1:3" x14ac:dyDescent="0.3">
      <c r="A7" s="126">
        <v>42370</v>
      </c>
      <c r="B7" s="125" t="s">
        <v>748</v>
      </c>
      <c r="C7" s="125" t="s">
        <v>32</v>
      </c>
    </row>
    <row r="8" spans="1:3" x14ac:dyDescent="0.3">
      <c r="A8" s="126">
        <v>42416</v>
      </c>
      <c r="B8" s="125" t="s">
        <v>749</v>
      </c>
      <c r="C8" s="125" t="s">
        <v>161</v>
      </c>
    </row>
    <row r="9" spans="1:3" x14ac:dyDescent="0.3">
      <c r="A9" s="126">
        <v>42440</v>
      </c>
      <c r="B9" s="125" t="s">
        <v>748</v>
      </c>
      <c r="C9" s="125" t="s">
        <v>162</v>
      </c>
    </row>
    <row r="10" spans="1:3" x14ac:dyDescent="0.3">
      <c r="A10" s="126">
        <v>42456</v>
      </c>
      <c r="B10" s="125" t="s">
        <v>746</v>
      </c>
      <c r="C10" s="125" t="s">
        <v>163</v>
      </c>
    </row>
    <row r="11" spans="1:3" x14ac:dyDescent="0.3">
      <c r="A11" s="126">
        <v>42457</v>
      </c>
      <c r="B11" s="125" t="s">
        <v>750</v>
      </c>
      <c r="C11" s="125" t="s">
        <v>164</v>
      </c>
    </row>
    <row r="12" spans="1:3" x14ac:dyDescent="0.3">
      <c r="A12" s="126">
        <v>42491</v>
      </c>
      <c r="B12" s="125" t="s">
        <v>746</v>
      </c>
      <c r="C12" s="125" t="s">
        <v>165</v>
      </c>
    </row>
    <row r="13" spans="1:3" x14ac:dyDescent="0.3">
      <c r="A13" s="126">
        <v>42545</v>
      </c>
      <c r="B13" s="125" t="s">
        <v>748</v>
      </c>
      <c r="C13" s="125" t="s">
        <v>166</v>
      </c>
    </row>
    <row r="14" spans="1:3" x14ac:dyDescent="0.3">
      <c r="A14" s="126">
        <v>42557</v>
      </c>
      <c r="B14" s="125" t="s">
        <v>751</v>
      </c>
      <c r="C14" s="125" t="s">
        <v>167</v>
      </c>
    </row>
    <row r="15" spans="1:3" x14ac:dyDescent="0.3">
      <c r="A15" s="126">
        <v>42597</v>
      </c>
      <c r="B15" s="125" t="s">
        <v>750</v>
      </c>
      <c r="C15" s="125" t="s">
        <v>168</v>
      </c>
    </row>
    <row r="16" spans="1:3" x14ac:dyDescent="0.3">
      <c r="A16" s="126">
        <v>42675</v>
      </c>
      <c r="B16" s="125" t="s">
        <v>749</v>
      </c>
      <c r="C16" s="125" t="s">
        <v>28</v>
      </c>
    </row>
    <row r="17" spans="1:3" x14ac:dyDescent="0.3">
      <c r="A17" s="126">
        <v>42728</v>
      </c>
      <c r="B17" s="125" t="s">
        <v>745</v>
      </c>
      <c r="C17" s="125" t="s">
        <v>169</v>
      </c>
    </row>
    <row r="18" spans="1:3" x14ac:dyDescent="0.3">
      <c r="A18" s="126">
        <v>42729</v>
      </c>
      <c r="B18" s="125" t="s">
        <v>746</v>
      </c>
      <c r="C18" s="125" t="s">
        <v>170</v>
      </c>
    </row>
    <row r="19" spans="1:3" x14ac:dyDescent="0.3">
      <c r="A19" s="126">
        <v>42730</v>
      </c>
      <c r="B19" s="125" t="s">
        <v>750</v>
      </c>
      <c r="C19" s="125" t="s">
        <v>171</v>
      </c>
    </row>
    <row r="20" spans="1:3" x14ac:dyDescent="0.3">
      <c r="A20" s="126">
        <v>42736</v>
      </c>
      <c r="B20" s="125" t="s">
        <v>746</v>
      </c>
      <c r="C20" s="125" t="s">
        <v>32</v>
      </c>
    </row>
    <row r="21" spans="1:3" x14ac:dyDescent="0.3">
      <c r="A21" s="126">
        <v>42782</v>
      </c>
      <c r="B21" s="125" t="s">
        <v>747</v>
      </c>
      <c r="C21" s="125" t="s">
        <v>161</v>
      </c>
    </row>
    <row r="22" spans="1:3" x14ac:dyDescent="0.3">
      <c r="A22" s="126">
        <v>42805</v>
      </c>
      <c r="B22" s="125" t="s">
        <v>745</v>
      </c>
      <c r="C22" s="125" t="s">
        <v>162</v>
      </c>
    </row>
    <row r="23" spans="1:3" x14ac:dyDescent="0.3">
      <c r="A23" s="126">
        <v>42841</v>
      </c>
      <c r="B23" s="125" t="s">
        <v>746</v>
      </c>
      <c r="C23" s="125" t="s">
        <v>163</v>
      </c>
    </row>
    <row r="24" spans="1:3" x14ac:dyDescent="0.3">
      <c r="A24" s="126">
        <v>42842</v>
      </c>
      <c r="B24" s="125" t="s">
        <v>750</v>
      </c>
      <c r="C24" s="125" t="s">
        <v>164</v>
      </c>
    </row>
    <row r="25" spans="1:3" x14ac:dyDescent="0.3">
      <c r="A25" s="126">
        <v>42856</v>
      </c>
      <c r="B25" s="125" t="s">
        <v>750</v>
      </c>
      <c r="C25" s="125" t="s">
        <v>165</v>
      </c>
    </row>
    <row r="26" spans="1:3" x14ac:dyDescent="0.3">
      <c r="A26" s="126">
        <v>42862</v>
      </c>
      <c r="B26" s="125" t="s">
        <v>746</v>
      </c>
      <c r="C26" s="125" t="s">
        <v>172</v>
      </c>
    </row>
    <row r="27" spans="1:3" x14ac:dyDescent="0.3">
      <c r="A27" s="126">
        <v>42890</v>
      </c>
      <c r="B27" s="125" t="s">
        <v>746</v>
      </c>
      <c r="C27" s="125" t="s">
        <v>173</v>
      </c>
    </row>
    <row r="28" spans="1:3" x14ac:dyDescent="0.3">
      <c r="A28" s="126">
        <v>42910</v>
      </c>
      <c r="B28" s="125" t="s">
        <v>745</v>
      </c>
      <c r="C28" s="125" t="s">
        <v>166</v>
      </c>
    </row>
    <row r="29" spans="1:3" x14ac:dyDescent="0.3">
      <c r="A29" s="126">
        <v>42922</v>
      </c>
      <c r="B29" s="125" t="s">
        <v>747</v>
      </c>
      <c r="C29" s="125" t="s">
        <v>167</v>
      </c>
    </row>
    <row r="30" spans="1:3" x14ac:dyDescent="0.3">
      <c r="A30" s="126">
        <v>42962</v>
      </c>
      <c r="B30" s="125" t="s">
        <v>749</v>
      </c>
      <c r="C30" s="125" t="s">
        <v>168</v>
      </c>
    </row>
    <row r="31" spans="1:3" x14ac:dyDescent="0.3">
      <c r="A31" s="126">
        <v>43040</v>
      </c>
      <c r="B31" s="125" t="s">
        <v>751</v>
      </c>
      <c r="C31" s="125" t="s">
        <v>28</v>
      </c>
    </row>
    <row r="32" spans="1:3" x14ac:dyDescent="0.3">
      <c r="A32" s="126">
        <v>43093</v>
      </c>
      <c r="B32" s="125" t="s">
        <v>746</v>
      </c>
      <c r="C32" s="125" t="s">
        <v>169</v>
      </c>
    </row>
    <row r="33" spans="1:3" x14ac:dyDescent="0.3">
      <c r="A33" s="126">
        <v>43094</v>
      </c>
      <c r="B33" s="125" t="s">
        <v>750</v>
      </c>
      <c r="C33" s="125" t="s">
        <v>170</v>
      </c>
    </row>
    <row r="34" spans="1:3" x14ac:dyDescent="0.3">
      <c r="A34" s="126">
        <v>43095</v>
      </c>
      <c r="B34" s="125" t="s">
        <v>749</v>
      </c>
      <c r="C34" s="125" t="s">
        <v>171</v>
      </c>
    </row>
    <row r="35" spans="1:3" x14ac:dyDescent="0.3">
      <c r="A35" s="126">
        <v>43466</v>
      </c>
      <c r="B35" s="125" t="s">
        <v>749</v>
      </c>
    </row>
    <row r="36" spans="1:3" x14ac:dyDescent="0.3">
      <c r="A36" s="126">
        <v>43535</v>
      </c>
      <c r="B36" s="125" t="s">
        <v>750</v>
      </c>
    </row>
    <row r="37" spans="1:3" x14ac:dyDescent="0.3">
      <c r="A37" s="126">
        <v>43577</v>
      </c>
      <c r="B37" s="125" t="s">
        <v>750</v>
      </c>
    </row>
    <row r="38" spans="1:3" x14ac:dyDescent="0.3">
      <c r="A38" s="126">
        <v>43692</v>
      </c>
      <c r="B38" s="125" t="s">
        <v>747</v>
      </c>
    </row>
    <row r="39" spans="1:3" x14ac:dyDescent="0.3">
      <c r="A39" s="126">
        <v>43693</v>
      </c>
      <c r="B39" s="125" t="s">
        <v>748</v>
      </c>
    </row>
    <row r="40" spans="1:3" x14ac:dyDescent="0.3">
      <c r="A40" s="126">
        <v>43770</v>
      </c>
      <c r="B40" s="125" t="s">
        <v>748</v>
      </c>
    </row>
    <row r="41" spans="1:3" x14ac:dyDescent="0.3">
      <c r="A41" s="126">
        <v>43823</v>
      </c>
      <c r="B41" s="125" t="s">
        <v>749</v>
      </c>
    </row>
    <row r="42" spans="1:3" x14ac:dyDescent="0.3">
      <c r="A42" s="126">
        <v>43824</v>
      </c>
      <c r="B42" s="125" t="s">
        <v>751</v>
      </c>
    </row>
    <row r="43" spans="1:3" x14ac:dyDescent="0.3">
      <c r="A43" s="126">
        <v>43825</v>
      </c>
      <c r="B43" s="125" t="s">
        <v>747</v>
      </c>
    </row>
    <row r="44" spans="1:3" x14ac:dyDescent="0.3">
      <c r="A44" s="126">
        <v>43901</v>
      </c>
      <c r="B44" s="125" t="s">
        <v>751</v>
      </c>
    </row>
    <row r="45" spans="1:3" x14ac:dyDescent="0.3">
      <c r="A45" s="126">
        <v>43934</v>
      </c>
      <c r="B45" s="125" t="s">
        <v>750</v>
      </c>
    </row>
    <row r="46" spans="1:3" x14ac:dyDescent="0.3">
      <c r="A46" s="126">
        <v>43952</v>
      </c>
      <c r="B46" s="125" t="s">
        <v>748</v>
      </c>
    </row>
    <row r="47" spans="1:3" x14ac:dyDescent="0.3">
      <c r="A47" s="126">
        <v>44006</v>
      </c>
      <c r="B47" s="125" t="s">
        <v>751</v>
      </c>
    </row>
    <row r="48" spans="1:3" x14ac:dyDescent="0.3">
      <c r="A48" s="126">
        <v>44018</v>
      </c>
      <c r="B48" s="125" t="s">
        <v>750</v>
      </c>
    </row>
    <row r="49" spans="1:2" x14ac:dyDescent="0.3">
      <c r="A49" s="126">
        <v>44137</v>
      </c>
      <c r="B49" s="125" t="s">
        <v>750</v>
      </c>
    </row>
    <row r="50" spans="1:2" x14ac:dyDescent="0.3">
      <c r="A50" s="126">
        <v>44371</v>
      </c>
      <c r="B50" s="125" t="s">
        <v>747</v>
      </c>
    </row>
    <row r="51" spans="1:2" x14ac:dyDescent="0.3">
      <c r="A51" s="126">
        <v>44372</v>
      </c>
      <c r="B51" s="125" t="s">
        <v>748</v>
      </c>
    </row>
    <row r="52" spans="1:2" x14ac:dyDescent="0.3">
      <c r="A52" s="126">
        <v>44382</v>
      </c>
      <c r="B52" s="125" t="s">
        <v>750</v>
      </c>
    </row>
    <row r="53" spans="1:2" x14ac:dyDescent="0.3">
      <c r="A53" s="126">
        <v>44383</v>
      </c>
      <c r="B53" s="125" t="s">
        <v>749</v>
      </c>
    </row>
    <row r="54" spans="1:2" x14ac:dyDescent="0.3">
      <c r="A54" s="126">
        <v>44501</v>
      </c>
      <c r="B54" s="125" t="s">
        <v>750</v>
      </c>
    </row>
    <row r="55" spans="1:2" x14ac:dyDescent="0.3">
      <c r="A55" s="126">
        <v>44502</v>
      </c>
      <c r="B55" s="125" t="s">
        <v>749</v>
      </c>
    </row>
    <row r="56" spans="1:2" x14ac:dyDescent="0.3">
      <c r="A56" s="126">
        <v>44557</v>
      </c>
      <c r="B56" s="125" t="s">
        <v>750</v>
      </c>
    </row>
    <row r="57" spans="1:2" x14ac:dyDescent="0.3">
      <c r="A57" s="126">
        <v>44558</v>
      </c>
      <c r="B57" s="125" t="s">
        <v>749</v>
      </c>
    </row>
    <row r="58" spans="1:2" x14ac:dyDescent="0.3">
      <c r="A58" s="126">
        <v>44559</v>
      </c>
      <c r="B58" s="125" t="s">
        <v>751</v>
      </c>
    </row>
    <row r="59" spans="1:2" x14ac:dyDescent="0.3">
      <c r="A59" s="126">
        <v>44560</v>
      </c>
      <c r="B59" s="125" t="s">
        <v>747</v>
      </c>
    </row>
    <row r="60" spans="1:2" x14ac:dyDescent="0.3">
      <c r="A60" s="126">
        <v>44561</v>
      </c>
      <c r="B60" s="125" t="s">
        <v>748</v>
      </c>
    </row>
    <row r="61" spans="1:2" x14ac:dyDescent="0.3">
      <c r="A61" s="126">
        <v>44554</v>
      </c>
      <c r="B61" s="125" t="s">
        <v>748</v>
      </c>
    </row>
    <row r="62" spans="1:2" x14ac:dyDescent="0.3">
      <c r="A62" s="126">
        <v>44608</v>
      </c>
      <c r="B62" s="125" t="s">
        <v>751</v>
      </c>
    </row>
    <row r="63" spans="1:2" x14ac:dyDescent="0.3">
      <c r="A63" s="126">
        <v>44631</v>
      </c>
      <c r="B63" s="125" t="s">
        <v>748</v>
      </c>
    </row>
    <row r="64" spans="1:2" x14ac:dyDescent="0.3">
      <c r="A64" s="126">
        <v>44669</v>
      </c>
      <c r="B64" s="125" t="s">
        <v>750</v>
      </c>
    </row>
    <row r="65" spans="1:2" x14ac:dyDescent="0.3">
      <c r="A65" s="126">
        <v>44736</v>
      </c>
      <c r="B65" s="125" t="s">
        <v>748</v>
      </c>
    </row>
    <row r="66" spans="1:2" x14ac:dyDescent="0.3">
      <c r="A66" s="126">
        <v>44748</v>
      </c>
      <c r="B66" s="125" t="s">
        <v>751</v>
      </c>
    </row>
    <row r="67" spans="1:2" x14ac:dyDescent="0.3">
      <c r="A67" s="126">
        <v>44788</v>
      </c>
      <c r="B67" s="125" t="s">
        <v>750</v>
      </c>
    </row>
    <row r="68" spans="1:2" x14ac:dyDescent="0.3">
      <c r="A68" s="126">
        <v>44866</v>
      </c>
      <c r="B68" s="125" t="s">
        <v>749</v>
      </c>
    </row>
    <row r="69" spans="1:2" x14ac:dyDescent="0.3">
      <c r="A69" s="126">
        <v>44867</v>
      </c>
      <c r="B69" s="125" t="s">
        <v>751</v>
      </c>
    </row>
    <row r="70" spans="1:2" x14ac:dyDescent="0.3">
      <c r="A70" s="126">
        <v>44921</v>
      </c>
      <c r="B70" s="125" t="s">
        <v>750</v>
      </c>
    </row>
    <row r="71" spans="1:2" x14ac:dyDescent="0.3">
      <c r="A71" s="126">
        <v>44922</v>
      </c>
      <c r="B71" s="125" t="s">
        <v>749</v>
      </c>
    </row>
    <row r="72" spans="1:2" x14ac:dyDescent="0.3">
      <c r="A72" s="126">
        <v>44923</v>
      </c>
      <c r="B72" s="125" t="s">
        <v>751</v>
      </c>
    </row>
    <row r="73" spans="1:2" x14ac:dyDescent="0.3">
      <c r="A73" s="126">
        <v>44924</v>
      </c>
      <c r="B73" s="125" t="s">
        <v>747</v>
      </c>
    </row>
    <row r="74" spans="1:2" x14ac:dyDescent="0.3">
      <c r="A74" s="126">
        <v>44925</v>
      </c>
      <c r="B74" s="125" t="s">
        <v>748</v>
      </c>
    </row>
    <row r="75" spans="1:2" x14ac:dyDescent="0.3">
      <c r="A75" s="126">
        <v>44928</v>
      </c>
      <c r="B75" s="125" t="s">
        <v>750</v>
      </c>
    </row>
    <row r="76" spans="1:2" x14ac:dyDescent="0.3">
      <c r="A76" s="126">
        <v>45026</v>
      </c>
      <c r="B76" s="125" t="s">
        <v>750</v>
      </c>
    </row>
    <row r="77" spans="1:2" x14ac:dyDescent="0.3">
      <c r="A77" s="126">
        <v>45047</v>
      </c>
      <c r="B77" s="125" t="s">
        <v>750</v>
      </c>
    </row>
    <row r="78" spans="1:2" x14ac:dyDescent="0.3">
      <c r="A78" s="126">
        <v>45110</v>
      </c>
      <c r="B78" s="125" t="s">
        <v>750</v>
      </c>
    </row>
    <row r="79" spans="1:2" x14ac:dyDescent="0.3">
      <c r="A79" s="126">
        <v>45111</v>
      </c>
      <c r="B79" s="125" t="s">
        <v>749</v>
      </c>
    </row>
    <row r="80" spans="1:2" x14ac:dyDescent="0.3">
      <c r="A80" s="126">
        <v>45112</v>
      </c>
      <c r="B80" s="125" t="s">
        <v>751</v>
      </c>
    </row>
    <row r="81" spans="1:3" x14ac:dyDescent="0.3">
      <c r="A81" s="126">
        <v>45113</v>
      </c>
      <c r="B81" s="125" t="s">
        <v>747</v>
      </c>
    </row>
    <row r="82" spans="1:3" x14ac:dyDescent="0.3">
      <c r="A82" s="126">
        <v>45146</v>
      </c>
      <c r="B82" s="125" t="s">
        <v>749</v>
      </c>
    </row>
    <row r="83" spans="1:3" x14ac:dyDescent="0.3">
      <c r="A83" s="126">
        <v>45145</v>
      </c>
      <c r="B83" s="125" t="s">
        <v>750</v>
      </c>
    </row>
    <row r="84" spans="1:3" x14ac:dyDescent="0.3">
      <c r="A84" s="126">
        <v>45147</v>
      </c>
      <c r="B84" s="125" t="s">
        <v>751</v>
      </c>
    </row>
    <row r="85" spans="1:3" x14ac:dyDescent="0.3">
      <c r="A85" s="126">
        <v>45148</v>
      </c>
      <c r="B85" s="125" t="s">
        <v>747</v>
      </c>
    </row>
    <row r="86" spans="1:3" x14ac:dyDescent="0.3">
      <c r="A86" s="126">
        <v>45149</v>
      </c>
      <c r="B86" s="125" t="s">
        <v>748</v>
      </c>
    </row>
    <row r="87" spans="1:3" x14ac:dyDescent="0.3">
      <c r="A87" s="126">
        <v>45152</v>
      </c>
      <c r="B87" s="125" t="s">
        <v>750</v>
      </c>
    </row>
    <row r="88" spans="1:3" x14ac:dyDescent="0.3">
      <c r="A88" s="126">
        <v>45153</v>
      </c>
      <c r="B88" s="125" t="s">
        <v>749</v>
      </c>
    </row>
    <row r="89" spans="1:3" x14ac:dyDescent="0.3">
      <c r="A89" s="126">
        <v>45154</v>
      </c>
      <c r="B89" s="125" t="s">
        <v>751</v>
      </c>
    </row>
    <row r="90" spans="1:3" x14ac:dyDescent="0.3">
      <c r="A90" s="126">
        <v>45155</v>
      </c>
      <c r="B90" s="125" t="s">
        <v>747</v>
      </c>
    </row>
    <row r="91" spans="1:3" x14ac:dyDescent="0.3">
      <c r="A91" s="126">
        <v>45156</v>
      </c>
      <c r="B91" s="125" t="s">
        <v>748</v>
      </c>
    </row>
    <row r="92" spans="1:3" x14ac:dyDescent="0.3">
      <c r="A92" s="126">
        <v>45231</v>
      </c>
      <c r="B92" s="125" t="s">
        <v>751</v>
      </c>
      <c r="C92" s="125" t="s">
        <v>28</v>
      </c>
    </row>
    <row r="93" spans="1:3" x14ac:dyDescent="0.3">
      <c r="A93" s="126">
        <v>45232</v>
      </c>
      <c r="B93" s="125" t="s">
        <v>747</v>
      </c>
      <c r="C93" s="125" t="s">
        <v>757</v>
      </c>
    </row>
    <row r="94" spans="1:3" x14ac:dyDescent="0.3">
      <c r="A94" s="126">
        <v>45285</v>
      </c>
      <c r="B94" s="125" t="s">
        <v>750</v>
      </c>
      <c r="C94" s="125" t="s">
        <v>170</v>
      </c>
    </row>
    <row r="95" spans="1:3" x14ac:dyDescent="0.3">
      <c r="A95" s="126">
        <v>45286</v>
      </c>
      <c r="B95" s="125" t="s">
        <v>749</v>
      </c>
      <c r="C95" s="125" t="s">
        <v>171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632D2-4759-4F2E-8461-43CAB4E37E49}">
  <sheetPr>
    <tabColor rgb="FF92D050"/>
  </sheetPr>
  <dimension ref="A1:C8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1.21875" style="125" bestFit="1" customWidth="1"/>
    <col min="2" max="2" width="16.33203125" style="125" bestFit="1" customWidth="1"/>
    <col min="3" max="3" width="21.5546875" style="125" bestFit="1" customWidth="1"/>
    <col min="4" max="16384" width="8.88671875" style="125"/>
  </cols>
  <sheetData>
    <row r="1" spans="1:3" x14ac:dyDescent="0.3">
      <c r="A1" s="125" t="s">
        <v>776</v>
      </c>
      <c r="B1" s="125" t="s">
        <v>777</v>
      </c>
      <c r="C1" s="125" t="s">
        <v>778</v>
      </c>
    </row>
    <row r="2" spans="1:3" x14ac:dyDescent="0.3">
      <c r="A2" s="125" t="s">
        <v>779</v>
      </c>
      <c r="B2" s="125" t="s">
        <v>56</v>
      </c>
      <c r="C2" s="125" t="s">
        <v>780</v>
      </c>
    </row>
    <row r="3" spans="1:3" x14ac:dyDescent="0.3">
      <c r="A3" s="125" t="s">
        <v>781</v>
      </c>
      <c r="B3" s="125" t="s">
        <v>56</v>
      </c>
      <c r="C3" s="125" t="s">
        <v>780</v>
      </c>
    </row>
    <row r="4" spans="1:3" x14ac:dyDescent="0.3">
      <c r="A4" s="125" t="s">
        <v>782</v>
      </c>
      <c r="B4" s="125" t="s">
        <v>56</v>
      </c>
      <c r="C4" s="125" t="s">
        <v>780</v>
      </c>
    </row>
    <row r="5" spans="1:3" x14ac:dyDescent="0.3">
      <c r="A5" s="125" t="s">
        <v>783</v>
      </c>
      <c r="B5" s="125" t="s">
        <v>784</v>
      </c>
      <c r="C5" s="125" t="s">
        <v>780</v>
      </c>
    </row>
    <row r="6" spans="1:3" x14ac:dyDescent="0.3">
      <c r="A6" s="125" t="s">
        <v>785</v>
      </c>
      <c r="B6" s="125" t="s">
        <v>57</v>
      </c>
      <c r="C6" s="125" t="s">
        <v>780</v>
      </c>
    </row>
    <row r="7" spans="1:3" x14ac:dyDescent="0.3">
      <c r="A7" s="125" t="s">
        <v>786</v>
      </c>
      <c r="B7" s="125" t="s">
        <v>57</v>
      </c>
      <c r="C7" s="125" t="s">
        <v>780</v>
      </c>
    </row>
    <row r="8" spans="1:3" x14ac:dyDescent="0.3">
      <c r="A8" s="125" t="s">
        <v>787</v>
      </c>
      <c r="B8" s="125" t="s">
        <v>57</v>
      </c>
      <c r="C8" s="125" t="s">
        <v>780</v>
      </c>
    </row>
    <row r="9" spans="1:3" x14ac:dyDescent="0.3">
      <c r="A9" s="125" t="s">
        <v>788</v>
      </c>
      <c r="B9" s="125" t="s">
        <v>57</v>
      </c>
      <c r="C9" s="125" t="s">
        <v>780</v>
      </c>
    </row>
    <row r="10" spans="1:3" x14ac:dyDescent="0.3">
      <c r="A10" s="125" t="s">
        <v>789</v>
      </c>
      <c r="B10" s="125" t="s">
        <v>784</v>
      </c>
      <c r="C10" s="125" t="s">
        <v>780</v>
      </c>
    </row>
    <row r="11" spans="1:3" x14ac:dyDescent="0.3">
      <c r="A11" s="125" t="s">
        <v>790</v>
      </c>
      <c r="B11" s="125" t="s">
        <v>56</v>
      </c>
      <c r="C11" s="125" t="s">
        <v>780</v>
      </c>
    </row>
    <row r="12" spans="1:3" x14ac:dyDescent="0.3">
      <c r="A12" s="125" t="s">
        <v>791</v>
      </c>
      <c r="B12" s="125" t="s">
        <v>57</v>
      </c>
      <c r="C12" s="125" t="s">
        <v>780</v>
      </c>
    </row>
    <row r="13" spans="1:3" x14ac:dyDescent="0.3">
      <c r="A13" s="125" t="s">
        <v>792</v>
      </c>
      <c r="B13" s="125" t="s">
        <v>56</v>
      </c>
      <c r="C13" s="125" t="s">
        <v>780</v>
      </c>
    </row>
    <row r="14" spans="1:3" x14ac:dyDescent="0.3">
      <c r="A14" s="125" t="s">
        <v>793</v>
      </c>
      <c r="B14" s="125" t="s">
        <v>56</v>
      </c>
      <c r="C14" s="125" t="s">
        <v>780</v>
      </c>
    </row>
    <row r="15" spans="1:3" x14ac:dyDescent="0.3">
      <c r="A15" s="125" t="s">
        <v>794</v>
      </c>
      <c r="B15" s="125" t="s">
        <v>57</v>
      </c>
      <c r="C15" s="125" t="s">
        <v>780</v>
      </c>
    </row>
    <row r="16" spans="1:3" x14ac:dyDescent="0.3">
      <c r="A16" s="125" t="s">
        <v>795</v>
      </c>
      <c r="B16" s="125" t="s">
        <v>57</v>
      </c>
      <c r="C16" s="125" t="s">
        <v>780</v>
      </c>
    </row>
    <row r="17" spans="1:3" x14ac:dyDescent="0.3">
      <c r="A17" s="125" t="s">
        <v>796</v>
      </c>
      <c r="B17" s="125" t="s">
        <v>57</v>
      </c>
      <c r="C17" s="125" t="s">
        <v>780</v>
      </c>
    </row>
    <row r="18" spans="1:3" x14ac:dyDescent="0.3">
      <c r="A18" s="125" t="s">
        <v>797</v>
      </c>
      <c r="B18" s="125" t="s">
        <v>56</v>
      </c>
      <c r="C18" s="125" t="s">
        <v>780</v>
      </c>
    </row>
    <row r="19" spans="1:3" x14ac:dyDescent="0.3">
      <c r="A19" s="125" t="s">
        <v>798</v>
      </c>
      <c r="B19" s="125" t="s">
        <v>56</v>
      </c>
      <c r="C19" s="125" t="s">
        <v>780</v>
      </c>
    </row>
    <row r="20" spans="1:3" x14ac:dyDescent="0.3">
      <c r="A20" s="125" t="s">
        <v>799</v>
      </c>
      <c r="B20" s="125" t="s">
        <v>57</v>
      </c>
      <c r="C20" s="125" t="s">
        <v>780</v>
      </c>
    </row>
    <row r="21" spans="1:3" x14ac:dyDescent="0.3">
      <c r="A21" s="125" t="s">
        <v>800</v>
      </c>
      <c r="B21" s="125" t="s">
        <v>57</v>
      </c>
      <c r="C21" s="125" t="s">
        <v>780</v>
      </c>
    </row>
    <row r="22" spans="1:3" x14ac:dyDescent="0.3">
      <c r="A22" s="125" t="s">
        <v>721</v>
      </c>
      <c r="B22" s="125" t="s">
        <v>56</v>
      </c>
      <c r="C22" s="125" t="s">
        <v>780</v>
      </c>
    </row>
    <row r="23" spans="1:3" x14ac:dyDescent="0.3">
      <c r="A23" s="125" t="s">
        <v>723</v>
      </c>
      <c r="B23" s="125" t="s">
        <v>56</v>
      </c>
      <c r="C23" s="125" t="s">
        <v>780</v>
      </c>
    </row>
    <row r="24" spans="1:3" x14ac:dyDescent="0.3">
      <c r="A24" s="125" t="s">
        <v>801</v>
      </c>
      <c r="B24" s="125" t="s">
        <v>56</v>
      </c>
      <c r="C24" s="125" t="s">
        <v>780</v>
      </c>
    </row>
    <row r="25" spans="1:3" x14ac:dyDescent="0.3">
      <c r="A25" s="125" t="s">
        <v>802</v>
      </c>
      <c r="B25" s="125" t="s">
        <v>56</v>
      </c>
      <c r="C25" s="125" t="s">
        <v>780</v>
      </c>
    </row>
    <row r="26" spans="1:3" x14ac:dyDescent="0.3">
      <c r="A26" s="125" t="s">
        <v>803</v>
      </c>
      <c r="B26" s="125" t="s">
        <v>56</v>
      </c>
      <c r="C26" s="125" t="s">
        <v>780</v>
      </c>
    </row>
    <row r="27" spans="1:3" x14ac:dyDescent="0.3">
      <c r="A27" s="125" t="s">
        <v>804</v>
      </c>
      <c r="B27" s="125" t="s">
        <v>56</v>
      </c>
      <c r="C27" s="125" t="s">
        <v>780</v>
      </c>
    </row>
    <row r="28" spans="1:3" x14ac:dyDescent="0.3">
      <c r="A28" s="125" t="s">
        <v>805</v>
      </c>
      <c r="B28" s="125" t="s">
        <v>56</v>
      </c>
      <c r="C28" s="125" t="s">
        <v>780</v>
      </c>
    </row>
    <row r="29" spans="1:3" x14ac:dyDescent="0.3">
      <c r="A29" s="125" t="s">
        <v>806</v>
      </c>
      <c r="B29" s="125" t="s">
        <v>56</v>
      </c>
      <c r="C29" s="125" t="s">
        <v>780</v>
      </c>
    </row>
    <row r="30" spans="1:3" x14ac:dyDescent="0.3">
      <c r="A30" s="125" t="s">
        <v>807</v>
      </c>
      <c r="B30" s="125" t="s">
        <v>56</v>
      </c>
      <c r="C30" s="125" t="s">
        <v>780</v>
      </c>
    </row>
    <row r="31" spans="1:3" x14ac:dyDescent="0.3">
      <c r="A31" s="125" t="s">
        <v>808</v>
      </c>
      <c r="B31" s="125" t="s">
        <v>56</v>
      </c>
      <c r="C31" s="125" t="s">
        <v>780</v>
      </c>
    </row>
    <row r="32" spans="1:3" x14ac:dyDescent="0.3">
      <c r="A32" s="125" t="s">
        <v>809</v>
      </c>
      <c r="B32" s="125" t="s">
        <v>56</v>
      </c>
      <c r="C32" s="125" t="s">
        <v>780</v>
      </c>
    </row>
    <row r="33" spans="1:3" x14ac:dyDescent="0.3">
      <c r="A33" s="125" t="s">
        <v>810</v>
      </c>
      <c r="B33" s="125" t="s">
        <v>57</v>
      </c>
      <c r="C33" s="125" t="s">
        <v>780</v>
      </c>
    </row>
    <row r="34" spans="1:3" x14ac:dyDescent="0.3">
      <c r="A34" s="125" t="s">
        <v>811</v>
      </c>
      <c r="B34" s="125" t="s">
        <v>57</v>
      </c>
      <c r="C34" s="125" t="s">
        <v>780</v>
      </c>
    </row>
    <row r="35" spans="1:3" x14ac:dyDescent="0.3">
      <c r="A35" s="125" t="s">
        <v>812</v>
      </c>
      <c r="B35" s="125" t="s">
        <v>56</v>
      </c>
      <c r="C35" s="125" t="s">
        <v>780</v>
      </c>
    </row>
    <row r="36" spans="1:3" x14ac:dyDescent="0.3">
      <c r="A36" s="125" t="s">
        <v>813</v>
      </c>
      <c r="B36" s="125" t="s">
        <v>56</v>
      </c>
      <c r="C36" s="125" t="s">
        <v>780</v>
      </c>
    </row>
    <row r="37" spans="1:3" x14ac:dyDescent="0.3">
      <c r="A37" s="125" t="s">
        <v>814</v>
      </c>
      <c r="B37" s="125" t="s">
        <v>56</v>
      </c>
      <c r="C37" s="125" t="s">
        <v>780</v>
      </c>
    </row>
    <row r="38" spans="1:3" x14ac:dyDescent="0.3">
      <c r="A38" s="125" t="s">
        <v>815</v>
      </c>
      <c r="B38" s="125" t="s">
        <v>56</v>
      </c>
      <c r="C38" s="125" t="s">
        <v>780</v>
      </c>
    </row>
    <row r="39" spans="1:3" x14ac:dyDescent="0.3">
      <c r="A39" s="125" t="s">
        <v>816</v>
      </c>
      <c r="B39" s="125" t="s">
        <v>56</v>
      </c>
      <c r="C39" s="125" t="s">
        <v>780</v>
      </c>
    </row>
    <row r="40" spans="1:3" x14ac:dyDescent="0.3">
      <c r="A40" s="125" t="s">
        <v>817</v>
      </c>
      <c r="B40" s="125" t="s">
        <v>56</v>
      </c>
      <c r="C40" s="125" t="s">
        <v>780</v>
      </c>
    </row>
    <row r="41" spans="1:3" x14ac:dyDescent="0.3">
      <c r="A41" s="125" t="s">
        <v>818</v>
      </c>
      <c r="B41" s="125" t="s">
        <v>57</v>
      </c>
      <c r="C41" s="125" t="s">
        <v>780</v>
      </c>
    </row>
    <row r="42" spans="1:3" x14ac:dyDescent="0.3">
      <c r="A42" s="125" t="s">
        <v>819</v>
      </c>
      <c r="B42" s="125" t="s">
        <v>57</v>
      </c>
      <c r="C42" s="125" t="s">
        <v>780</v>
      </c>
    </row>
    <row r="43" spans="1:3" x14ac:dyDescent="0.3">
      <c r="A43" s="125" t="s">
        <v>820</v>
      </c>
      <c r="B43" s="125" t="s">
        <v>56</v>
      </c>
      <c r="C43" s="125" t="s">
        <v>780</v>
      </c>
    </row>
    <row r="44" spans="1:3" x14ac:dyDescent="0.3">
      <c r="A44" s="125" t="s">
        <v>821</v>
      </c>
      <c r="B44" s="125" t="s">
        <v>56</v>
      </c>
      <c r="C44" s="125" t="s">
        <v>780</v>
      </c>
    </row>
    <row r="45" spans="1:3" x14ac:dyDescent="0.3">
      <c r="A45" s="125">
        <v>3</v>
      </c>
      <c r="B45" s="125" t="s">
        <v>822</v>
      </c>
      <c r="C45" s="125" t="s">
        <v>780</v>
      </c>
    </row>
    <row r="46" spans="1:3" x14ac:dyDescent="0.3">
      <c r="A46" s="125">
        <v>4</v>
      </c>
      <c r="B46" s="125" t="s">
        <v>822</v>
      </c>
      <c r="C46" s="125" t="s">
        <v>780</v>
      </c>
    </row>
    <row r="47" spans="1:3" x14ac:dyDescent="0.3">
      <c r="A47" s="125" t="s">
        <v>823</v>
      </c>
      <c r="B47" s="125" t="s">
        <v>57</v>
      </c>
      <c r="C47" s="125" t="s">
        <v>780</v>
      </c>
    </row>
    <row r="48" spans="1:3" x14ac:dyDescent="0.3">
      <c r="A48" s="125" t="s">
        <v>824</v>
      </c>
      <c r="B48" s="125" t="s">
        <v>825</v>
      </c>
      <c r="C48" s="125" t="s">
        <v>780</v>
      </c>
    </row>
    <row r="49" spans="1:3" x14ac:dyDescent="0.3">
      <c r="A49" s="125" t="s">
        <v>826</v>
      </c>
      <c r="B49" s="125" t="s">
        <v>56</v>
      </c>
      <c r="C49" s="125" t="s">
        <v>780</v>
      </c>
    </row>
    <row r="50" spans="1:3" x14ac:dyDescent="0.3">
      <c r="A50" s="125" t="s">
        <v>827</v>
      </c>
      <c r="B50" s="125" t="s">
        <v>825</v>
      </c>
      <c r="C50" s="125" t="s">
        <v>780</v>
      </c>
    </row>
    <row r="51" spans="1:3" x14ac:dyDescent="0.3">
      <c r="A51" s="125">
        <v>1</v>
      </c>
      <c r="B51" s="125" t="s">
        <v>822</v>
      </c>
      <c r="C51" s="125" t="s">
        <v>780</v>
      </c>
    </row>
    <row r="52" spans="1:3" x14ac:dyDescent="0.3">
      <c r="A52" s="125" t="s">
        <v>828</v>
      </c>
      <c r="B52" s="125" t="s">
        <v>56</v>
      </c>
      <c r="C52" s="125" t="s">
        <v>780</v>
      </c>
    </row>
    <row r="53" spans="1:3" x14ac:dyDescent="0.3">
      <c r="A53" s="125" t="s">
        <v>829</v>
      </c>
      <c r="B53" s="125" t="s">
        <v>784</v>
      </c>
      <c r="C53" s="125" t="s">
        <v>780</v>
      </c>
    </row>
    <row r="54" spans="1:3" x14ac:dyDescent="0.3">
      <c r="A54" s="125">
        <v>2</v>
      </c>
      <c r="B54" s="125" t="s">
        <v>56</v>
      </c>
      <c r="C54" s="125" t="s">
        <v>780</v>
      </c>
    </row>
    <row r="55" spans="1:3" x14ac:dyDescent="0.3">
      <c r="A55" s="125" t="s">
        <v>830</v>
      </c>
      <c r="B55" s="125" t="s">
        <v>57</v>
      </c>
      <c r="C55" s="125" t="s">
        <v>780</v>
      </c>
    </row>
    <row r="56" spans="1:3" x14ac:dyDescent="0.3">
      <c r="A56" s="125" t="s">
        <v>831</v>
      </c>
      <c r="B56" s="125" t="s">
        <v>57</v>
      </c>
      <c r="C56" s="125" t="s">
        <v>780</v>
      </c>
    </row>
    <row r="57" spans="1:3" x14ac:dyDescent="0.3">
      <c r="A57" s="125" t="s">
        <v>832</v>
      </c>
      <c r="B57" s="125" t="s">
        <v>784</v>
      </c>
      <c r="C57" s="125" t="s">
        <v>780</v>
      </c>
    </row>
    <row r="58" spans="1:3" x14ac:dyDescent="0.3">
      <c r="A58" s="125" t="s">
        <v>833</v>
      </c>
      <c r="B58" s="125" t="s">
        <v>56</v>
      </c>
      <c r="C58" s="125" t="s">
        <v>780</v>
      </c>
    </row>
    <row r="59" spans="1:3" x14ac:dyDescent="0.3">
      <c r="A59" s="125" t="s">
        <v>834</v>
      </c>
      <c r="B59" s="125" t="s">
        <v>56</v>
      </c>
      <c r="C59" s="125" t="s">
        <v>780</v>
      </c>
    </row>
    <row r="60" spans="1:3" x14ac:dyDescent="0.3">
      <c r="A60" s="125" t="s">
        <v>835</v>
      </c>
      <c r="B60" s="125" t="s">
        <v>57</v>
      </c>
      <c r="C60" s="125" t="s">
        <v>780</v>
      </c>
    </row>
    <row r="61" spans="1:3" x14ac:dyDescent="0.3">
      <c r="A61" s="125" t="s">
        <v>836</v>
      </c>
      <c r="B61" s="125" t="s">
        <v>836</v>
      </c>
      <c r="C61" s="125" t="s">
        <v>780</v>
      </c>
    </row>
    <row r="62" spans="1:3" x14ac:dyDescent="0.3">
      <c r="A62" s="125" t="s">
        <v>837</v>
      </c>
      <c r="B62" s="125" t="s">
        <v>57</v>
      </c>
      <c r="C62" s="125" t="s">
        <v>780</v>
      </c>
    </row>
    <row r="63" spans="1:3" x14ac:dyDescent="0.3">
      <c r="A63" s="125" t="s">
        <v>838</v>
      </c>
      <c r="B63" s="125" t="s">
        <v>784</v>
      </c>
      <c r="C63" s="125" t="s">
        <v>780</v>
      </c>
    </row>
    <row r="64" spans="1:3" x14ac:dyDescent="0.3">
      <c r="A64" s="125" t="s">
        <v>839</v>
      </c>
      <c r="B64" s="125" t="s">
        <v>56</v>
      </c>
      <c r="C64" s="125" t="s">
        <v>780</v>
      </c>
    </row>
    <row r="65" spans="1:3" x14ac:dyDescent="0.3">
      <c r="A65" s="125" t="s">
        <v>840</v>
      </c>
      <c r="B65" s="125" t="s">
        <v>840</v>
      </c>
      <c r="C65" s="125" t="s">
        <v>780</v>
      </c>
    </row>
    <row r="66" spans="1:3" x14ac:dyDescent="0.3">
      <c r="A66" s="125" t="s">
        <v>841</v>
      </c>
      <c r="B66" s="125" t="s">
        <v>56</v>
      </c>
      <c r="C66" s="125" t="s">
        <v>780</v>
      </c>
    </row>
    <row r="67" spans="1:3" x14ac:dyDescent="0.3">
      <c r="A67" s="125" t="s">
        <v>842</v>
      </c>
      <c r="B67" s="125" t="s">
        <v>56</v>
      </c>
      <c r="C67" s="125" t="s">
        <v>780</v>
      </c>
    </row>
    <row r="68" spans="1:3" x14ac:dyDescent="0.3">
      <c r="A68" s="125" t="s">
        <v>843</v>
      </c>
      <c r="B68" s="125" t="s">
        <v>56</v>
      </c>
      <c r="C68" s="125" t="s">
        <v>780</v>
      </c>
    </row>
    <row r="69" spans="1:3" x14ac:dyDescent="0.3">
      <c r="A69" s="125" t="s">
        <v>844</v>
      </c>
      <c r="B69" s="125" t="s">
        <v>56</v>
      </c>
      <c r="C69" s="125" t="s">
        <v>780</v>
      </c>
    </row>
    <row r="70" spans="1:3" x14ac:dyDescent="0.3">
      <c r="A70" s="125" t="s">
        <v>845</v>
      </c>
      <c r="B70" s="125" t="s">
        <v>56</v>
      </c>
      <c r="C70" s="125" t="s">
        <v>780</v>
      </c>
    </row>
    <row r="71" spans="1:3" x14ac:dyDescent="0.3">
      <c r="A71" s="125" t="s">
        <v>846</v>
      </c>
      <c r="B71" s="125" t="s">
        <v>56</v>
      </c>
      <c r="C71" s="125" t="s">
        <v>780</v>
      </c>
    </row>
    <row r="72" spans="1:3" x14ac:dyDescent="0.3">
      <c r="A72" s="125" t="s">
        <v>847</v>
      </c>
      <c r="B72" s="125" t="s">
        <v>56</v>
      </c>
      <c r="C72" s="125" t="s">
        <v>780</v>
      </c>
    </row>
    <row r="73" spans="1:3" x14ac:dyDescent="0.3">
      <c r="A73" s="125" t="s">
        <v>848</v>
      </c>
      <c r="B73" s="125" t="s">
        <v>56</v>
      </c>
      <c r="C73" s="125" t="s">
        <v>780</v>
      </c>
    </row>
    <row r="74" spans="1:3" x14ac:dyDescent="0.3">
      <c r="A74" s="125" t="s">
        <v>849</v>
      </c>
      <c r="B74" s="125" t="s">
        <v>57</v>
      </c>
      <c r="C74" s="125" t="s">
        <v>780</v>
      </c>
    </row>
    <row r="75" spans="1:3" x14ac:dyDescent="0.3">
      <c r="A75" s="125" t="s">
        <v>850</v>
      </c>
      <c r="B75" s="125" t="s">
        <v>56</v>
      </c>
      <c r="C75" s="125" t="s">
        <v>780</v>
      </c>
    </row>
    <row r="76" spans="1:3" x14ac:dyDescent="0.3">
      <c r="A76" s="125" t="s">
        <v>851</v>
      </c>
      <c r="B76" s="125" t="s">
        <v>56</v>
      </c>
      <c r="C76" s="125" t="s">
        <v>780</v>
      </c>
    </row>
    <row r="77" spans="1:3" x14ac:dyDescent="0.3">
      <c r="A77" s="125" t="s">
        <v>852</v>
      </c>
      <c r="B77" s="125" t="s">
        <v>56</v>
      </c>
      <c r="C77" s="125" t="s">
        <v>780</v>
      </c>
    </row>
    <row r="78" spans="1:3" x14ac:dyDescent="0.3">
      <c r="A78" s="125" t="s">
        <v>853</v>
      </c>
      <c r="B78" s="125" t="s">
        <v>56</v>
      </c>
      <c r="C78" s="125" t="s">
        <v>780</v>
      </c>
    </row>
    <row r="79" spans="1:3" x14ac:dyDescent="0.3">
      <c r="A79" s="125" t="s">
        <v>854</v>
      </c>
      <c r="B79" s="125" t="s">
        <v>854</v>
      </c>
      <c r="C79" s="125" t="s">
        <v>855</v>
      </c>
    </row>
    <row r="80" spans="1:3" x14ac:dyDescent="0.3">
      <c r="A80" s="125" t="s">
        <v>856</v>
      </c>
      <c r="B80" s="125" t="s">
        <v>56</v>
      </c>
      <c r="C80" s="125" t="s">
        <v>780</v>
      </c>
    </row>
    <row r="81" spans="1:3" x14ac:dyDescent="0.3">
      <c r="A81" s="125" t="s">
        <v>857</v>
      </c>
      <c r="B81" s="125" t="s">
        <v>56</v>
      </c>
      <c r="C81" s="125" t="s">
        <v>780</v>
      </c>
    </row>
    <row r="82" spans="1:3" x14ac:dyDescent="0.3">
      <c r="A82" s="125" t="s">
        <v>858</v>
      </c>
      <c r="B82" s="125" t="s">
        <v>57</v>
      </c>
      <c r="C82" s="125" t="s">
        <v>780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30C38-C774-4925-976D-EDDD055CF291}">
  <sheetPr codeName="Sheet21">
    <tabColor theme="9"/>
  </sheetPr>
  <dimension ref="A1:BB317"/>
  <sheetViews>
    <sheetView workbookViewId="0">
      <pane ySplit="1" topLeftCell="A2" activePane="bottomLeft" state="frozen"/>
      <selection pane="bottomLeft" activeCell="G7" sqref="G7"/>
    </sheetView>
  </sheetViews>
  <sheetFormatPr defaultColWidth="9.109375" defaultRowHeight="14.4" x14ac:dyDescent="0.3"/>
  <cols>
    <col min="1" max="1" width="15.33203125" style="125" bestFit="1" customWidth="1"/>
    <col min="2" max="2" width="10.44140625" style="125" bestFit="1" customWidth="1"/>
    <col min="3" max="3" width="18.6640625" style="125" bestFit="1" customWidth="1"/>
    <col min="4" max="4" width="8.6640625" style="125" bestFit="1" customWidth="1"/>
    <col min="5" max="6" width="18.77734375" style="125" bestFit="1" customWidth="1"/>
    <col min="7" max="7" width="18.21875" style="125" bestFit="1" customWidth="1"/>
    <col min="8" max="8" width="12.44140625" style="125" bestFit="1" customWidth="1"/>
    <col min="9" max="9" width="13.21875" style="125" bestFit="1" customWidth="1"/>
    <col min="10" max="10" width="20.6640625" style="125" bestFit="1" customWidth="1"/>
    <col min="11" max="11" width="20.88671875" style="125" bestFit="1" customWidth="1"/>
    <col min="12" max="12" width="27.6640625" style="125" bestFit="1" customWidth="1"/>
    <col min="13" max="13" width="23.21875" style="125" bestFit="1" customWidth="1"/>
    <col min="14" max="14" width="4.5546875" style="125" bestFit="1" customWidth="1"/>
    <col min="15" max="15" width="4.6640625" style="125" bestFit="1" customWidth="1"/>
    <col min="16" max="16" width="4.33203125" style="125" bestFit="1" customWidth="1"/>
    <col min="17" max="17" width="4.6640625" style="125" bestFit="1" customWidth="1"/>
    <col min="18" max="18" width="4.44140625" style="125" bestFit="1" customWidth="1"/>
    <col min="19" max="19" width="4.21875" style="125" bestFit="1" customWidth="1"/>
    <col min="20" max="20" width="4.33203125" style="125" bestFit="1" customWidth="1"/>
    <col min="21" max="21" width="4.5546875" style="125" bestFit="1" customWidth="1"/>
    <col min="22" max="22" width="4.44140625" style="125" bestFit="1" customWidth="1"/>
    <col min="23" max="23" width="23" style="125" bestFit="1" customWidth="1"/>
    <col min="24" max="24" width="4.33203125" style="125" bestFit="1" customWidth="1"/>
    <col min="25" max="26" width="4.21875" style="125" bestFit="1" customWidth="1"/>
    <col min="27" max="29" width="5.6640625" style="125" bestFit="1" customWidth="1"/>
    <col min="30" max="30" width="24.5546875" style="125" bestFit="1" customWidth="1"/>
    <col min="31" max="31" width="5.5546875" style="125" bestFit="1" customWidth="1"/>
    <col min="32" max="32" width="20.44140625" style="125" bestFit="1" customWidth="1"/>
    <col min="33" max="33" width="19.88671875" style="125" bestFit="1" customWidth="1"/>
    <col min="34" max="34" width="5.77734375" style="125" bestFit="1" customWidth="1"/>
    <col min="35" max="35" width="5" style="125" bestFit="1" customWidth="1"/>
    <col min="36" max="36" width="5.21875" style="125" bestFit="1" customWidth="1"/>
    <col min="37" max="37" width="5.5546875" style="125" bestFit="1" customWidth="1"/>
    <col min="38" max="38" width="19.77734375" style="125" bestFit="1" customWidth="1"/>
    <col min="39" max="39" width="24.44140625" style="125" bestFit="1" customWidth="1"/>
    <col min="40" max="40" width="5.77734375" style="125" bestFit="1" customWidth="1"/>
    <col min="41" max="41" width="5.88671875" style="125" bestFit="1" customWidth="1"/>
    <col min="42" max="42" width="18.109375" style="125" bestFit="1" customWidth="1"/>
    <col min="43" max="43" width="20.88671875" style="125" bestFit="1" customWidth="1"/>
    <col min="44" max="44" width="5.6640625" style="125" bestFit="1" customWidth="1"/>
    <col min="45" max="45" width="5.44140625" style="125" bestFit="1" customWidth="1"/>
    <col min="46" max="46" width="5.5546875" style="125" bestFit="1" customWidth="1"/>
    <col min="47" max="47" width="5.77734375" style="125" bestFit="1" customWidth="1"/>
    <col min="48" max="48" width="5.6640625" style="125" bestFit="1" customWidth="1"/>
    <col min="49" max="49" width="6.33203125" style="125" bestFit="1" customWidth="1"/>
    <col min="50" max="50" width="5.5546875" style="125" bestFit="1" customWidth="1"/>
    <col min="51" max="52" width="5.44140625" style="125" bestFit="1" customWidth="1"/>
    <col min="53" max="53" width="36.33203125" style="125" bestFit="1" customWidth="1"/>
    <col min="54" max="54" width="8" style="125" bestFit="1" customWidth="1"/>
    <col min="55" max="55" width="36.33203125" style="125" bestFit="1" customWidth="1"/>
    <col min="56" max="57" width="8" style="125" bestFit="1" customWidth="1"/>
    <col min="58" max="58" width="8" style="125" customWidth="1"/>
    <col min="59" max="60" width="17.5546875" style="125" bestFit="1" customWidth="1"/>
    <col min="61" max="61" width="18.109375" style="125" bestFit="1" customWidth="1"/>
    <col min="62" max="70" width="14.5546875" style="125" bestFit="1" customWidth="1"/>
    <col min="71" max="97" width="15.6640625" style="125" bestFit="1" customWidth="1"/>
    <col min="98" max="98" width="11.88671875" style="125" bestFit="1" customWidth="1"/>
    <col min="99" max="99" width="14.33203125" style="125" bestFit="1" customWidth="1"/>
    <col min="100" max="100" width="21.6640625" style="125" bestFit="1" customWidth="1"/>
    <col min="101" max="101" width="30.6640625" style="125" bestFit="1" customWidth="1"/>
    <col min="102" max="102" width="19.33203125" style="125" bestFit="1" customWidth="1"/>
    <col min="103" max="103" width="12.44140625" style="125" bestFit="1" customWidth="1"/>
    <col min="104" max="104" width="19.33203125" style="125" bestFit="1" customWidth="1"/>
    <col min="105" max="105" width="18.6640625" style="125" bestFit="1" customWidth="1"/>
    <col min="106" max="107" width="21.5546875" style="125" bestFit="1" customWidth="1"/>
    <col min="108" max="109" width="19.6640625" style="125" bestFit="1" customWidth="1"/>
    <col min="110" max="111" width="21.6640625" style="125" bestFit="1" customWidth="1"/>
    <col min="112" max="113" width="19.88671875" style="125" bestFit="1" customWidth="1"/>
    <col min="114" max="115" width="22.33203125" style="125" bestFit="1" customWidth="1"/>
    <col min="116" max="117" width="20.5546875" style="125" bestFit="1" customWidth="1"/>
    <col min="118" max="119" width="22.6640625" style="125" bestFit="1" customWidth="1"/>
    <col min="120" max="121" width="21" style="125" bestFit="1" customWidth="1"/>
    <col min="122" max="123" width="23" style="125" bestFit="1" customWidth="1"/>
    <col min="124" max="125" width="21.33203125" style="125" bestFit="1" customWidth="1"/>
    <col min="126" max="126" width="20.33203125" style="125" bestFit="1" customWidth="1"/>
    <col min="127" max="127" width="31.5546875" style="125" bestFit="1" customWidth="1"/>
    <col min="128" max="128" width="23" style="125" bestFit="1" customWidth="1"/>
    <col min="129" max="129" width="31" style="125" bestFit="1" customWidth="1"/>
    <col min="130" max="130" width="22.44140625" style="125" bestFit="1" customWidth="1"/>
    <col min="131" max="131" width="31.5546875" style="125" bestFit="1" customWidth="1"/>
    <col min="132" max="132" width="23" style="125" bestFit="1" customWidth="1"/>
    <col min="133" max="133" width="16" style="125" bestFit="1" customWidth="1"/>
    <col min="134" max="134" width="16.5546875" style="125" bestFit="1" customWidth="1"/>
    <col min="135" max="135" width="26.5546875" style="125" bestFit="1" customWidth="1"/>
    <col min="136" max="136" width="26.6640625" style="125" bestFit="1" customWidth="1"/>
    <col min="137" max="137" width="26.109375" style="125" bestFit="1" customWidth="1"/>
    <col min="138" max="138" width="26.33203125" style="125" bestFit="1" customWidth="1"/>
    <col min="139" max="139" width="22.88671875" style="125" bestFit="1" customWidth="1"/>
    <col min="140" max="140" width="26.44140625" style="125" bestFit="1" customWidth="1"/>
    <col min="141" max="142" width="26.33203125" style="125" bestFit="1" customWidth="1"/>
    <col min="143" max="143" width="22.6640625" style="125" bestFit="1" customWidth="1"/>
    <col min="144" max="144" width="20.88671875" style="125" bestFit="1" customWidth="1"/>
    <col min="145" max="145" width="28.44140625" style="125" bestFit="1" customWidth="1"/>
    <col min="146" max="146" width="26.5546875" style="125" bestFit="1" customWidth="1"/>
    <col min="147" max="147" width="29.6640625" style="125" bestFit="1" customWidth="1"/>
    <col min="148" max="148" width="27.88671875" style="125" bestFit="1" customWidth="1"/>
    <col min="149" max="149" width="21.6640625" style="125" bestFit="1" customWidth="1"/>
    <col min="150" max="150" width="19.88671875" style="125" bestFit="1" customWidth="1"/>
    <col min="151" max="151" width="28.6640625" style="125" bestFit="1" customWidth="1"/>
    <col min="152" max="152" width="26.6640625" style="125" bestFit="1" customWidth="1"/>
    <col min="153" max="153" width="28.6640625" style="125" bestFit="1" customWidth="1"/>
    <col min="154" max="154" width="26.6640625" style="125" bestFit="1" customWidth="1"/>
    <col min="155" max="155" width="21.6640625" style="125" bestFit="1" customWidth="1"/>
    <col min="156" max="156" width="19.44140625" style="125" bestFit="1" customWidth="1"/>
    <col min="157" max="157" width="17.5546875" style="125" bestFit="1" customWidth="1"/>
    <col min="158" max="158" width="16.33203125" style="125" bestFit="1" customWidth="1"/>
    <col min="159" max="159" width="18.5546875" style="125" bestFit="1" customWidth="1"/>
    <col min="160" max="160" width="23" style="125" bestFit="1" customWidth="1"/>
    <col min="161" max="161" width="12" style="125" bestFit="1" customWidth="1"/>
    <col min="162" max="162" width="9.88671875" style="125" bestFit="1" customWidth="1"/>
    <col min="163" max="163" width="16.44140625" style="125" bestFit="1" customWidth="1"/>
    <col min="164" max="164" width="14.33203125" style="125" bestFit="1" customWidth="1"/>
    <col min="165" max="165" width="14.6640625" style="125" bestFit="1" customWidth="1"/>
    <col min="166" max="166" width="17" style="125" bestFit="1" customWidth="1"/>
    <col min="167" max="167" width="28.33203125" style="125" bestFit="1" customWidth="1"/>
    <col min="168" max="168" width="22.33203125" style="125" bestFit="1" customWidth="1"/>
    <col min="169" max="169" width="18.5546875" style="125" bestFit="1" customWidth="1"/>
    <col min="170" max="170" width="25.6640625" style="125" bestFit="1" customWidth="1"/>
    <col min="171" max="173" width="17.109375" style="125" bestFit="1" customWidth="1"/>
    <col min="174" max="175" width="16.88671875" style="125" bestFit="1" customWidth="1"/>
    <col min="176" max="176" width="25.88671875" style="125" bestFit="1" customWidth="1"/>
    <col min="177" max="177" width="15.6640625" style="125" bestFit="1" customWidth="1"/>
    <col min="178" max="178" width="20.6640625" style="125" bestFit="1" customWidth="1"/>
    <col min="179" max="181" width="15.6640625" style="125" bestFit="1" customWidth="1"/>
    <col min="182" max="182" width="16.6640625" style="125" bestFit="1" customWidth="1"/>
    <col min="183" max="183" width="29.33203125" style="125" bestFit="1" customWidth="1"/>
    <col min="184" max="16384" width="9.109375" style="125"/>
  </cols>
  <sheetData>
    <row r="1" spans="1:54" x14ac:dyDescent="0.3">
      <c r="A1" s="125" t="s">
        <v>691</v>
      </c>
      <c r="B1" s="125" t="s">
        <v>692</v>
      </c>
      <c r="C1" s="125" t="s">
        <v>714</v>
      </c>
      <c r="D1" s="125" t="s">
        <v>756</v>
      </c>
      <c r="E1" s="125" t="s">
        <v>695</v>
      </c>
      <c r="F1" s="125" t="s">
        <v>693</v>
      </c>
      <c r="G1" s="125" t="s">
        <v>694</v>
      </c>
      <c r="H1" s="125" t="s">
        <v>696</v>
      </c>
      <c r="I1" s="125" t="s">
        <v>699</v>
      </c>
      <c r="J1" s="125" t="s">
        <v>698</v>
      </c>
      <c r="K1" s="125" t="s">
        <v>702</v>
      </c>
      <c r="L1" s="125" t="s">
        <v>752</v>
      </c>
      <c r="M1" s="125" t="s">
        <v>703</v>
      </c>
      <c r="N1" s="125" t="s">
        <v>715</v>
      </c>
      <c r="O1" s="125" t="s">
        <v>716</v>
      </c>
      <c r="P1" s="125" t="s">
        <v>717</v>
      </c>
      <c r="Q1" s="125" t="s">
        <v>718</v>
      </c>
      <c r="R1" s="125" t="s">
        <v>64</v>
      </c>
      <c r="S1" s="125" t="s">
        <v>719</v>
      </c>
      <c r="T1" s="125" t="s">
        <v>112</v>
      </c>
      <c r="U1" s="125" t="s">
        <v>720</v>
      </c>
      <c r="V1" s="125" t="s">
        <v>721</v>
      </c>
      <c r="W1" s="125" t="s">
        <v>697</v>
      </c>
      <c r="X1" s="125" t="s">
        <v>722</v>
      </c>
      <c r="Y1" s="125" t="s">
        <v>723</v>
      </c>
      <c r="Z1" s="125" t="s">
        <v>724</v>
      </c>
      <c r="AA1" s="125" t="s">
        <v>725</v>
      </c>
      <c r="AB1" s="125" t="s">
        <v>726</v>
      </c>
      <c r="AC1" s="125" t="s">
        <v>727</v>
      </c>
      <c r="AD1" s="125" t="s">
        <v>728</v>
      </c>
      <c r="AE1" s="125" t="s">
        <v>729</v>
      </c>
      <c r="AF1" s="125" t="s">
        <v>700</v>
      </c>
      <c r="AG1" s="125" t="s">
        <v>701</v>
      </c>
      <c r="AH1" s="125" t="s">
        <v>730</v>
      </c>
      <c r="AI1" s="125" t="s">
        <v>731</v>
      </c>
      <c r="AJ1" s="125" t="s">
        <v>732</v>
      </c>
      <c r="AK1" s="125" t="s">
        <v>733</v>
      </c>
      <c r="AL1" s="125" t="s">
        <v>705</v>
      </c>
      <c r="AM1" s="125" t="s">
        <v>704</v>
      </c>
      <c r="AN1" s="125" t="s">
        <v>65</v>
      </c>
      <c r="AO1" s="125" t="s">
        <v>734</v>
      </c>
      <c r="AP1" s="125" t="s">
        <v>860</v>
      </c>
      <c r="AQ1" s="125" t="s">
        <v>859</v>
      </c>
      <c r="AR1" s="125" t="s">
        <v>735</v>
      </c>
      <c r="AS1" s="125" t="s">
        <v>736</v>
      </c>
      <c r="AT1" s="125" t="s">
        <v>737</v>
      </c>
      <c r="AU1" s="125" t="s">
        <v>738</v>
      </c>
      <c r="AV1" s="125" t="s">
        <v>739</v>
      </c>
      <c r="AW1" s="125" t="s">
        <v>740</v>
      </c>
      <c r="AX1" s="125" t="s">
        <v>741</v>
      </c>
      <c r="AY1" s="125" t="s">
        <v>742</v>
      </c>
      <c r="AZ1" s="125" t="s">
        <v>743</v>
      </c>
      <c r="BA1" s="125" t="s">
        <v>690</v>
      </c>
      <c r="BB1" s="125" t="s">
        <v>689</v>
      </c>
    </row>
    <row r="2" spans="1:54" x14ac:dyDescent="0.3">
      <c r="A2" s="125" t="s">
        <v>294</v>
      </c>
      <c r="B2" s="125" t="s">
        <v>219</v>
      </c>
      <c r="C2" s="125" t="s">
        <v>56</v>
      </c>
      <c r="D2" s="125">
        <v>4</v>
      </c>
      <c r="E2" s="125">
        <v>3130.0230000000001</v>
      </c>
      <c r="F2" s="125">
        <v>5660.9970000000003</v>
      </c>
      <c r="G2" s="125">
        <v>400.00599999999997</v>
      </c>
      <c r="H2" s="125">
        <v>8373.59</v>
      </c>
      <c r="J2" s="125">
        <v>10000</v>
      </c>
      <c r="K2" s="126"/>
      <c r="L2" s="125" t="s">
        <v>278</v>
      </c>
      <c r="M2" s="126">
        <v>45244</v>
      </c>
      <c r="W2" s="125">
        <v>3.41</v>
      </c>
      <c r="AD2" s="125" t="s">
        <v>277</v>
      </c>
      <c r="AF2" s="125" t="s">
        <v>706</v>
      </c>
      <c r="AG2" s="125" t="s">
        <v>713</v>
      </c>
      <c r="AL2" s="125" t="s">
        <v>708</v>
      </c>
      <c r="AM2" s="126">
        <v>45245</v>
      </c>
      <c r="AP2" s="125">
        <v>1</v>
      </c>
      <c r="AQ2" s="125">
        <v>50.408999999999999</v>
      </c>
      <c r="BA2" s="125" t="s">
        <v>407</v>
      </c>
      <c r="BB2" s="125">
        <v>5284481</v>
      </c>
    </row>
    <row r="3" spans="1:54" x14ac:dyDescent="0.3">
      <c r="A3" s="125" t="s">
        <v>294</v>
      </c>
      <c r="B3" s="125" t="s">
        <v>287</v>
      </c>
      <c r="C3" s="125" t="s">
        <v>56</v>
      </c>
      <c r="D3" s="125">
        <v>2</v>
      </c>
      <c r="E3" s="125">
        <v>1160</v>
      </c>
      <c r="F3" s="125">
        <v>6575</v>
      </c>
      <c r="G3" s="125">
        <v>140</v>
      </c>
      <c r="H3" s="125">
        <v>2622.99</v>
      </c>
      <c r="J3" s="125">
        <v>16190</v>
      </c>
      <c r="K3" s="126"/>
      <c r="L3" s="125" t="s">
        <v>753</v>
      </c>
      <c r="M3" s="126">
        <v>45291</v>
      </c>
      <c r="W3" s="125">
        <v>1.0609999999999999</v>
      </c>
      <c r="AD3" s="125" t="s">
        <v>359</v>
      </c>
      <c r="AF3" s="125" t="s">
        <v>710</v>
      </c>
      <c r="AG3" s="125" t="s">
        <v>709</v>
      </c>
      <c r="AL3" s="125" t="s">
        <v>708</v>
      </c>
      <c r="AM3" s="126">
        <v>45287</v>
      </c>
      <c r="AQ3" s="125">
        <v>22.06</v>
      </c>
      <c r="BA3" s="125" t="s">
        <v>687</v>
      </c>
      <c r="BB3" s="125">
        <v>5327878</v>
      </c>
    </row>
    <row r="4" spans="1:54" x14ac:dyDescent="0.3">
      <c r="A4" s="125" t="s">
        <v>294</v>
      </c>
      <c r="B4" s="125" t="s">
        <v>231</v>
      </c>
      <c r="C4" s="125" t="s">
        <v>56</v>
      </c>
      <c r="D4" s="125">
        <v>4</v>
      </c>
      <c r="E4" s="125">
        <v>2920.0070000000001</v>
      </c>
      <c r="F4" s="125">
        <v>5331</v>
      </c>
      <c r="G4" s="125">
        <v>200.00399999999999</v>
      </c>
      <c r="H4" s="125">
        <v>7584.72</v>
      </c>
      <c r="J4" s="125">
        <v>10980</v>
      </c>
      <c r="K4" s="126"/>
      <c r="L4" s="125" t="s">
        <v>278</v>
      </c>
      <c r="M4" s="126">
        <v>45247</v>
      </c>
      <c r="W4" s="125">
        <v>3.1040000000000001</v>
      </c>
      <c r="AD4" s="125" t="s">
        <v>277</v>
      </c>
      <c r="AF4" s="125" t="s">
        <v>712</v>
      </c>
      <c r="AG4" s="125" t="s">
        <v>711</v>
      </c>
      <c r="AL4" s="125" t="s">
        <v>708</v>
      </c>
      <c r="AM4" s="126">
        <v>45250</v>
      </c>
      <c r="AQ4" s="125">
        <v>19.393999999999998</v>
      </c>
      <c r="BA4" s="125" t="s">
        <v>410</v>
      </c>
      <c r="BB4" s="125">
        <v>5284489</v>
      </c>
    </row>
    <row r="5" spans="1:54" x14ac:dyDescent="0.3">
      <c r="A5" s="125" t="s">
        <v>294</v>
      </c>
      <c r="B5" s="125" t="s">
        <v>290</v>
      </c>
      <c r="C5" s="125" t="s">
        <v>56</v>
      </c>
      <c r="D5" s="125">
        <v>1</v>
      </c>
      <c r="E5" s="125">
        <v>1110</v>
      </c>
      <c r="F5" s="125">
        <v>6171</v>
      </c>
      <c r="G5" s="125">
        <v>140</v>
      </c>
      <c r="H5" s="125">
        <v>2356.23</v>
      </c>
      <c r="J5" s="125">
        <v>15620</v>
      </c>
      <c r="K5" s="126"/>
      <c r="L5" s="125" t="s">
        <v>278</v>
      </c>
      <c r="M5" s="126">
        <v>45278</v>
      </c>
      <c r="W5" s="125">
        <v>0.95299999999999996</v>
      </c>
      <c r="AD5" s="125" t="s">
        <v>359</v>
      </c>
      <c r="AF5" s="125" t="s">
        <v>710</v>
      </c>
      <c r="AG5" s="125" t="s">
        <v>707</v>
      </c>
      <c r="AL5" s="125" t="s">
        <v>708</v>
      </c>
      <c r="AM5" s="126">
        <v>45279</v>
      </c>
      <c r="AQ5" s="125">
        <v>20.295999999999999</v>
      </c>
      <c r="BA5" s="125" t="s">
        <v>668</v>
      </c>
      <c r="BB5" s="125">
        <v>5327877</v>
      </c>
    </row>
    <row r="6" spans="1:54" x14ac:dyDescent="0.3">
      <c r="A6" s="125" t="s">
        <v>294</v>
      </c>
      <c r="B6" s="125" t="s">
        <v>209</v>
      </c>
      <c r="C6" s="125" t="s">
        <v>56</v>
      </c>
      <c r="D6" s="125">
        <v>1</v>
      </c>
      <c r="E6" s="125">
        <v>3130</v>
      </c>
      <c r="F6" s="125">
        <v>5451.0060000000003</v>
      </c>
      <c r="G6" s="125">
        <v>200.02600000000001</v>
      </c>
      <c r="H6" s="125">
        <v>7160.02</v>
      </c>
      <c r="J6" s="125">
        <v>8900</v>
      </c>
      <c r="K6" s="126"/>
      <c r="L6" s="125" t="s">
        <v>278</v>
      </c>
      <c r="M6" s="126">
        <v>45237</v>
      </c>
      <c r="W6" s="125">
        <v>2.9119999999999999</v>
      </c>
      <c r="AD6" s="125" t="s">
        <v>293</v>
      </c>
      <c r="AF6" s="125" t="s">
        <v>706</v>
      </c>
      <c r="AG6" s="125" t="s">
        <v>755</v>
      </c>
      <c r="AL6" s="125" t="s">
        <v>708</v>
      </c>
      <c r="AM6" s="126">
        <v>45238</v>
      </c>
      <c r="AQ6" s="125">
        <v>34.75</v>
      </c>
      <c r="BA6" s="125" t="s">
        <v>508</v>
      </c>
      <c r="BB6" s="125">
        <v>5312159</v>
      </c>
    </row>
    <row r="7" spans="1:54" x14ac:dyDescent="0.3">
      <c r="A7" s="125" t="s">
        <v>294</v>
      </c>
      <c r="B7" s="125" t="s">
        <v>267</v>
      </c>
      <c r="C7" s="125" t="s">
        <v>56</v>
      </c>
      <c r="D7" s="125">
        <v>4</v>
      </c>
      <c r="E7" s="125">
        <v>3130.0070000000001</v>
      </c>
      <c r="F7" s="125">
        <v>7810</v>
      </c>
      <c r="G7" s="125">
        <v>200.00299999999999</v>
      </c>
      <c r="H7" s="125">
        <v>11113.58</v>
      </c>
      <c r="J7" s="125">
        <v>13240</v>
      </c>
      <c r="K7" s="126"/>
      <c r="L7" s="125" t="s">
        <v>753</v>
      </c>
      <c r="M7" s="126">
        <v>45261</v>
      </c>
      <c r="W7" s="125">
        <v>4.5380000000000003</v>
      </c>
      <c r="AD7" s="125" t="s">
        <v>277</v>
      </c>
      <c r="AF7" s="125" t="s">
        <v>710</v>
      </c>
      <c r="AG7" s="125" t="s">
        <v>712</v>
      </c>
      <c r="AL7" s="125" t="s">
        <v>708</v>
      </c>
      <c r="AM7" s="126">
        <v>45264</v>
      </c>
      <c r="AQ7" s="125">
        <v>46.154000000000003</v>
      </c>
      <c r="BA7" s="125" t="s">
        <v>467</v>
      </c>
      <c r="BB7" s="125">
        <v>5284710</v>
      </c>
    </row>
    <row r="8" spans="1:54" x14ac:dyDescent="0.3">
      <c r="A8" s="125" t="s">
        <v>294</v>
      </c>
      <c r="B8" s="125" t="s">
        <v>308</v>
      </c>
      <c r="C8" s="125" t="s">
        <v>57</v>
      </c>
      <c r="D8" s="125">
        <v>2</v>
      </c>
      <c r="E8" s="125">
        <v>3280.0070000000001</v>
      </c>
      <c r="F8" s="125">
        <v>8414.9989999999998</v>
      </c>
      <c r="G8" s="125">
        <v>595.02599999999995</v>
      </c>
      <c r="H8" s="125">
        <v>10393.75</v>
      </c>
      <c r="J8" s="125">
        <v>13150</v>
      </c>
      <c r="K8" s="126"/>
      <c r="L8" s="125" t="s">
        <v>348</v>
      </c>
      <c r="M8" s="126">
        <v>45261</v>
      </c>
      <c r="W8" s="125">
        <v>4.1100000000000003</v>
      </c>
      <c r="AD8" s="125" t="s">
        <v>584</v>
      </c>
      <c r="AF8" s="125" t="s">
        <v>710</v>
      </c>
      <c r="AG8" s="125" t="s">
        <v>712</v>
      </c>
      <c r="AL8" s="125" t="s">
        <v>280</v>
      </c>
      <c r="AM8" s="126">
        <v>45264</v>
      </c>
      <c r="AP8" s="125">
        <v>1</v>
      </c>
      <c r="AQ8" s="125">
        <v>47.563000000000002</v>
      </c>
      <c r="BA8" s="125" t="s">
        <v>601</v>
      </c>
      <c r="BB8" s="125">
        <v>5326772</v>
      </c>
    </row>
    <row r="9" spans="1:54" x14ac:dyDescent="0.3">
      <c r="A9" s="125" t="s">
        <v>294</v>
      </c>
      <c r="B9" s="125" t="s">
        <v>140</v>
      </c>
      <c r="C9" s="125" t="s">
        <v>56</v>
      </c>
      <c r="D9" s="125">
        <v>1</v>
      </c>
      <c r="E9" s="125">
        <v>3120</v>
      </c>
      <c r="F9" s="125">
        <v>1560</v>
      </c>
      <c r="G9" s="125">
        <v>200</v>
      </c>
      <c r="H9" s="125">
        <v>2363.4</v>
      </c>
      <c r="J9" s="125">
        <v>8960</v>
      </c>
      <c r="K9" s="126"/>
      <c r="L9" s="125" t="s">
        <v>753</v>
      </c>
      <c r="M9" s="126">
        <v>45237</v>
      </c>
      <c r="W9" s="125">
        <v>0.96599999999999997</v>
      </c>
      <c r="AD9" s="125" t="s">
        <v>277</v>
      </c>
      <c r="AF9" s="125" t="s">
        <v>706</v>
      </c>
      <c r="AG9" s="125" t="s">
        <v>755</v>
      </c>
      <c r="AL9" s="125" t="s">
        <v>708</v>
      </c>
      <c r="AM9" s="126">
        <v>45238</v>
      </c>
      <c r="AQ9" s="125">
        <v>7.58</v>
      </c>
      <c r="BA9" s="125" t="s">
        <v>513</v>
      </c>
      <c r="BB9" s="125">
        <v>5312186</v>
      </c>
    </row>
    <row r="10" spans="1:54" x14ac:dyDescent="0.3">
      <c r="A10" s="125" t="s">
        <v>294</v>
      </c>
      <c r="B10" s="125" t="s">
        <v>259</v>
      </c>
      <c r="C10" s="125" t="s">
        <v>56</v>
      </c>
      <c r="D10" s="125">
        <v>1</v>
      </c>
      <c r="E10" s="125">
        <v>3420.0070000000001</v>
      </c>
      <c r="F10" s="125">
        <v>4145</v>
      </c>
      <c r="G10" s="125">
        <v>200.00299999999999</v>
      </c>
      <c r="H10" s="125">
        <v>6897.85</v>
      </c>
      <c r="J10" s="125">
        <v>6160</v>
      </c>
      <c r="K10" s="126">
        <v>45159</v>
      </c>
      <c r="L10" s="125" t="s">
        <v>753</v>
      </c>
      <c r="M10" s="126">
        <v>45215</v>
      </c>
      <c r="W10" s="125">
        <v>2.8170000000000002</v>
      </c>
      <c r="AD10" s="125" t="s">
        <v>277</v>
      </c>
      <c r="AF10" s="125" t="s">
        <v>711</v>
      </c>
      <c r="AG10" s="125" t="s">
        <v>710</v>
      </c>
      <c r="AL10" s="125" t="s">
        <v>708</v>
      </c>
      <c r="AM10" s="126">
        <v>45216</v>
      </c>
      <c r="AQ10" s="125">
        <v>21.533000000000001</v>
      </c>
      <c r="BA10" s="125" t="s">
        <v>768</v>
      </c>
      <c r="BB10" s="125">
        <v>5287940</v>
      </c>
    </row>
    <row r="11" spans="1:54" x14ac:dyDescent="0.3">
      <c r="A11" s="125" t="s">
        <v>294</v>
      </c>
      <c r="B11" s="125" t="s">
        <v>322</v>
      </c>
      <c r="C11" s="125" t="s">
        <v>57</v>
      </c>
      <c r="D11" s="125">
        <v>1</v>
      </c>
      <c r="E11" s="125">
        <v>3270.0070000000001</v>
      </c>
      <c r="F11" s="125">
        <v>8414.9989999999998</v>
      </c>
      <c r="G11" s="125">
        <v>595.03499999999997</v>
      </c>
      <c r="H11" s="125">
        <v>10461.35</v>
      </c>
      <c r="J11" s="125">
        <v>8650</v>
      </c>
      <c r="K11" s="126"/>
      <c r="L11" s="125" t="s">
        <v>348</v>
      </c>
      <c r="M11" s="126">
        <v>45236</v>
      </c>
      <c r="W11" s="125">
        <v>4.165</v>
      </c>
      <c r="AD11" s="125" t="s">
        <v>584</v>
      </c>
      <c r="AF11" s="125" t="s">
        <v>706</v>
      </c>
      <c r="AG11" s="125" t="s">
        <v>755</v>
      </c>
      <c r="AL11" s="125" t="s">
        <v>280</v>
      </c>
      <c r="AM11" s="126">
        <v>45237</v>
      </c>
      <c r="AP11" s="125">
        <v>1</v>
      </c>
      <c r="AQ11" s="125">
        <v>36.942999999999998</v>
      </c>
      <c r="BA11" s="125" t="s">
        <v>530</v>
      </c>
      <c r="BB11" s="125">
        <v>5312252</v>
      </c>
    </row>
    <row r="12" spans="1:54" x14ac:dyDescent="0.3">
      <c r="A12" s="125" t="s">
        <v>294</v>
      </c>
      <c r="B12" s="125" t="s">
        <v>266</v>
      </c>
      <c r="C12" s="125" t="s">
        <v>56</v>
      </c>
      <c r="D12" s="125">
        <v>1</v>
      </c>
      <c r="E12" s="125">
        <v>3120</v>
      </c>
      <c r="F12" s="125">
        <v>1560</v>
      </c>
      <c r="G12" s="125">
        <v>200</v>
      </c>
      <c r="H12" s="125">
        <v>2363.4</v>
      </c>
      <c r="J12" s="125">
        <v>8970</v>
      </c>
      <c r="K12" s="126"/>
      <c r="L12" s="125" t="s">
        <v>753</v>
      </c>
      <c r="M12" s="126">
        <v>45237</v>
      </c>
      <c r="W12" s="125">
        <v>0.96599999999999997</v>
      </c>
      <c r="AD12" s="125" t="s">
        <v>277</v>
      </c>
      <c r="AF12" s="125" t="s">
        <v>706</v>
      </c>
      <c r="AG12" s="125" t="s">
        <v>755</v>
      </c>
      <c r="AL12" s="125" t="s">
        <v>708</v>
      </c>
      <c r="AM12" s="126">
        <v>45238</v>
      </c>
      <c r="AQ12" s="125">
        <v>7.58</v>
      </c>
      <c r="BA12" s="125" t="s">
        <v>531</v>
      </c>
      <c r="BB12" s="125">
        <v>5312253</v>
      </c>
    </row>
    <row r="13" spans="1:54" x14ac:dyDescent="0.3">
      <c r="A13" s="125" t="s">
        <v>294</v>
      </c>
      <c r="B13" s="125" t="s">
        <v>218</v>
      </c>
      <c r="C13" s="125" t="s">
        <v>56</v>
      </c>
      <c r="D13" s="125">
        <v>1</v>
      </c>
      <c r="E13" s="125">
        <v>3630.0149999999999</v>
      </c>
      <c r="F13" s="125">
        <v>8030</v>
      </c>
      <c r="G13" s="125">
        <v>200.00299999999999</v>
      </c>
      <c r="H13" s="125">
        <v>9426.1299999999992</v>
      </c>
      <c r="J13" s="125">
        <v>14380</v>
      </c>
      <c r="K13" s="126"/>
      <c r="L13" s="125" t="s">
        <v>754</v>
      </c>
      <c r="M13" s="126">
        <v>45268</v>
      </c>
      <c r="W13" s="125">
        <v>3.8239999999999998</v>
      </c>
      <c r="AD13" s="125" t="s">
        <v>293</v>
      </c>
      <c r="AF13" s="125" t="s">
        <v>710</v>
      </c>
      <c r="AG13" s="125" t="s">
        <v>710</v>
      </c>
      <c r="AL13" s="125" t="s">
        <v>708</v>
      </c>
      <c r="AM13" s="126">
        <v>45271</v>
      </c>
      <c r="AP13" s="125">
        <v>1</v>
      </c>
      <c r="AQ13" s="125">
        <v>37.482999999999997</v>
      </c>
      <c r="BA13" s="125" t="s">
        <v>629</v>
      </c>
      <c r="BB13" s="125">
        <v>5332488</v>
      </c>
    </row>
    <row r="14" spans="1:54" x14ac:dyDescent="0.3">
      <c r="A14" s="125" t="s">
        <v>294</v>
      </c>
      <c r="B14" s="125" t="s">
        <v>227</v>
      </c>
      <c r="C14" s="125" t="s">
        <v>56</v>
      </c>
      <c r="D14" s="125">
        <v>4</v>
      </c>
      <c r="E14" s="125">
        <v>2920.0149999999999</v>
      </c>
      <c r="F14" s="125">
        <v>5110</v>
      </c>
      <c r="G14" s="125">
        <v>200.00200000000001</v>
      </c>
      <c r="H14" s="125">
        <v>7269.44</v>
      </c>
      <c r="J14" s="125">
        <v>9870</v>
      </c>
      <c r="K14" s="126"/>
      <c r="L14" s="125" t="s">
        <v>753</v>
      </c>
      <c r="M14" s="126">
        <v>45243</v>
      </c>
      <c r="W14" s="125">
        <v>2.97</v>
      </c>
      <c r="AD14" s="125" t="s">
        <v>277</v>
      </c>
      <c r="AF14" s="125" t="s">
        <v>706</v>
      </c>
      <c r="AG14" s="125" t="s">
        <v>713</v>
      </c>
      <c r="AL14" s="125" t="s">
        <v>708</v>
      </c>
      <c r="AM14" s="126">
        <v>45244</v>
      </c>
      <c r="AQ14" s="125">
        <v>23.006</v>
      </c>
      <c r="BA14" s="125" t="s">
        <v>389</v>
      </c>
      <c r="BB14" s="125">
        <v>5284401</v>
      </c>
    </row>
    <row r="15" spans="1:54" x14ac:dyDescent="0.3">
      <c r="A15" s="125" t="s">
        <v>294</v>
      </c>
      <c r="B15" s="125" t="s">
        <v>184</v>
      </c>
      <c r="C15" s="125" t="s">
        <v>56</v>
      </c>
      <c r="D15" s="125">
        <v>4</v>
      </c>
      <c r="E15" s="125">
        <v>3130</v>
      </c>
      <c r="F15" s="125">
        <v>2531</v>
      </c>
      <c r="G15" s="125">
        <v>200</v>
      </c>
      <c r="H15" s="125">
        <v>3846.23</v>
      </c>
      <c r="J15" s="125">
        <v>13440</v>
      </c>
      <c r="K15" s="126"/>
      <c r="L15" s="125" t="s">
        <v>278</v>
      </c>
      <c r="M15" s="126">
        <v>45264</v>
      </c>
      <c r="W15" s="125">
        <v>1.573</v>
      </c>
      <c r="AD15" s="125" t="s">
        <v>277</v>
      </c>
      <c r="AF15" s="125" t="s">
        <v>710</v>
      </c>
      <c r="AG15" s="125" t="s">
        <v>712</v>
      </c>
      <c r="AL15" s="125" t="s">
        <v>708</v>
      </c>
      <c r="AM15" s="126">
        <v>45265</v>
      </c>
      <c r="AQ15" s="125">
        <v>10.656000000000001</v>
      </c>
      <c r="BA15" s="125" t="s">
        <v>398</v>
      </c>
      <c r="BB15" s="125">
        <v>5284436</v>
      </c>
    </row>
    <row r="16" spans="1:54" x14ac:dyDescent="0.3">
      <c r="A16" s="125" t="s">
        <v>294</v>
      </c>
      <c r="B16" s="125" t="s">
        <v>334</v>
      </c>
      <c r="C16" s="125" t="s">
        <v>57</v>
      </c>
      <c r="D16" s="125">
        <v>2</v>
      </c>
      <c r="E16" s="125">
        <v>3130.0210000000002</v>
      </c>
      <c r="F16" s="125">
        <v>6030.0010000000002</v>
      </c>
      <c r="G16" s="125">
        <v>595</v>
      </c>
      <c r="H16" s="125">
        <v>8031.53</v>
      </c>
      <c r="J16" s="125">
        <v>15400</v>
      </c>
      <c r="K16" s="126"/>
      <c r="L16" s="125" t="s">
        <v>349</v>
      </c>
      <c r="M16" s="126">
        <v>45275</v>
      </c>
      <c r="W16" s="125">
        <v>3.165</v>
      </c>
      <c r="AD16" s="125" t="s">
        <v>584</v>
      </c>
      <c r="AF16" s="125" t="s">
        <v>710</v>
      </c>
      <c r="AG16" s="125" t="s">
        <v>707</v>
      </c>
      <c r="AL16" s="125" t="s">
        <v>708</v>
      </c>
      <c r="AM16" s="126">
        <v>45278</v>
      </c>
      <c r="AP16" s="125">
        <v>2</v>
      </c>
      <c r="AQ16" s="125">
        <v>70.453999999999994</v>
      </c>
      <c r="BA16" s="125" t="s">
        <v>652</v>
      </c>
      <c r="BB16" s="125">
        <v>5331502</v>
      </c>
    </row>
    <row r="17" spans="1:54" x14ac:dyDescent="0.3">
      <c r="A17" s="125" t="s">
        <v>294</v>
      </c>
      <c r="B17" s="125" t="s">
        <v>388</v>
      </c>
      <c r="C17" s="125" t="s">
        <v>56</v>
      </c>
      <c r="D17" s="125">
        <v>1</v>
      </c>
      <c r="E17" s="125">
        <v>1160</v>
      </c>
      <c r="F17" s="125">
        <v>3094.9639999999999</v>
      </c>
      <c r="G17" s="125">
        <v>140</v>
      </c>
      <c r="H17" s="125">
        <v>1228.56</v>
      </c>
      <c r="J17" s="125">
        <v>16160</v>
      </c>
      <c r="K17" s="126"/>
      <c r="L17" s="125" t="s">
        <v>753</v>
      </c>
      <c r="M17" s="126">
        <v>45288</v>
      </c>
      <c r="W17" s="125">
        <v>0.495</v>
      </c>
      <c r="AD17" s="125" t="s">
        <v>359</v>
      </c>
      <c r="AF17" s="125" t="s">
        <v>710</v>
      </c>
      <c r="AG17" s="125" t="s">
        <v>709</v>
      </c>
      <c r="AL17" s="125" t="s">
        <v>708</v>
      </c>
      <c r="AM17" s="126">
        <v>45287</v>
      </c>
      <c r="AQ17" s="125">
        <v>11.125999999999999</v>
      </c>
      <c r="BA17" s="125" t="s">
        <v>678</v>
      </c>
      <c r="BB17" s="125">
        <v>5327864</v>
      </c>
    </row>
    <row r="18" spans="1:54" x14ac:dyDescent="0.3">
      <c r="A18" s="125" t="s">
        <v>294</v>
      </c>
      <c r="B18" s="125" t="s">
        <v>205</v>
      </c>
      <c r="C18" s="125" t="s">
        <v>56</v>
      </c>
      <c r="D18" s="125">
        <v>4</v>
      </c>
      <c r="E18" s="125">
        <v>3130.0070000000001</v>
      </c>
      <c r="F18" s="125">
        <v>2081.0010000000002</v>
      </c>
      <c r="G18" s="125">
        <v>200.00399999999999</v>
      </c>
      <c r="H18" s="125">
        <v>3124.13</v>
      </c>
      <c r="J18" s="125">
        <v>11010</v>
      </c>
      <c r="K18" s="126"/>
      <c r="L18" s="125" t="s">
        <v>278</v>
      </c>
      <c r="M18" s="126">
        <v>45247</v>
      </c>
      <c r="W18" s="125">
        <v>1.272</v>
      </c>
      <c r="AD18" s="125" t="s">
        <v>277</v>
      </c>
      <c r="AF18" s="125" t="s">
        <v>712</v>
      </c>
      <c r="AG18" s="125" t="s">
        <v>711</v>
      </c>
      <c r="AL18" s="125" t="s">
        <v>708</v>
      </c>
      <c r="AM18" s="126">
        <v>45250</v>
      </c>
      <c r="AQ18" s="125">
        <v>20.077999999999999</v>
      </c>
      <c r="BA18" s="125" t="s">
        <v>427</v>
      </c>
      <c r="BB18" s="125">
        <v>5284559</v>
      </c>
    </row>
    <row r="19" spans="1:54" x14ac:dyDescent="0.3">
      <c r="A19" s="125" t="s">
        <v>294</v>
      </c>
      <c r="B19" s="125" t="s">
        <v>342</v>
      </c>
      <c r="C19" s="125" t="s">
        <v>57</v>
      </c>
      <c r="D19" s="125">
        <v>2</v>
      </c>
      <c r="E19" s="125">
        <v>3130.0070000000001</v>
      </c>
      <c r="F19" s="125">
        <v>5150.0349999999999</v>
      </c>
      <c r="G19" s="125">
        <v>595.00099999999998</v>
      </c>
      <c r="H19" s="125">
        <v>6964.7</v>
      </c>
      <c r="J19" s="125">
        <v>7130</v>
      </c>
      <c r="K19" s="126"/>
      <c r="L19" s="125" t="s">
        <v>349</v>
      </c>
      <c r="M19" s="126">
        <v>45219</v>
      </c>
      <c r="W19" s="125">
        <v>2.7309999999999999</v>
      </c>
      <c r="AD19" s="125" t="s">
        <v>584</v>
      </c>
      <c r="AF19" s="125" t="s">
        <v>711</v>
      </c>
      <c r="AG19" s="125" t="s">
        <v>707</v>
      </c>
      <c r="AL19" s="125" t="s">
        <v>708</v>
      </c>
      <c r="AM19" s="126">
        <v>45222</v>
      </c>
      <c r="AP19" s="125">
        <v>1</v>
      </c>
      <c r="AQ19" s="125">
        <v>68.638000000000005</v>
      </c>
      <c r="BA19" s="125" t="s">
        <v>369</v>
      </c>
      <c r="BB19" s="125">
        <v>5161569</v>
      </c>
    </row>
    <row r="20" spans="1:54" x14ac:dyDescent="0.3">
      <c r="A20" s="125" t="s">
        <v>294</v>
      </c>
      <c r="B20" s="125" t="s">
        <v>183</v>
      </c>
      <c r="C20" s="125" t="s">
        <v>56</v>
      </c>
      <c r="D20" s="125">
        <v>4</v>
      </c>
      <c r="E20" s="125">
        <v>2920.0070000000001</v>
      </c>
      <c r="F20" s="125">
        <v>2460</v>
      </c>
      <c r="G20" s="125">
        <v>200.00299999999999</v>
      </c>
      <c r="H20" s="125">
        <v>3395.42</v>
      </c>
      <c r="J20" s="125">
        <v>12200</v>
      </c>
      <c r="K20" s="126"/>
      <c r="L20" s="125" t="s">
        <v>753</v>
      </c>
      <c r="M20" s="126">
        <v>45257</v>
      </c>
      <c r="W20" s="125">
        <v>1.3740000000000001</v>
      </c>
      <c r="AD20" s="125" t="s">
        <v>277</v>
      </c>
      <c r="AF20" s="125" t="s">
        <v>712</v>
      </c>
      <c r="AG20" s="125" t="s">
        <v>706</v>
      </c>
      <c r="AL20" s="125" t="s">
        <v>708</v>
      </c>
      <c r="AM20" s="126">
        <v>45258</v>
      </c>
      <c r="AQ20" s="125">
        <v>32.081000000000003</v>
      </c>
      <c r="BA20" s="125" t="s">
        <v>417</v>
      </c>
      <c r="BB20" s="125">
        <v>5284529</v>
      </c>
    </row>
    <row r="21" spans="1:54" x14ac:dyDescent="0.3">
      <c r="A21" s="125" t="s">
        <v>294</v>
      </c>
      <c r="B21" s="125" t="s">
        <v>231</v>
      </c>
      <c r="C21" s="125" t="s">
        <v>56</v>
      </c>
      <c r="D21" s="125">
        <v>4</v>
      </c>
      <c r="E21" s="125">
        <v>2920.0070000000001</v>
      </c>
      <c r="F21" s="125">
        <v>5331</v>
      </c>
      <c r="G21" s="125">
        <v>200.00399999999999</v>
      </c>
      <c r="H21" s="125">
        <v>7584.72</v>
      </c>
      <c r="J21" s="125">
        <v>12110</v>
      </c>
      <c r="K21" s="126"/>
      <c r="L21" s="125" t="s">
        <v>278</v>
      </c>
      <c r="M21" s="126">
        <v>45254</v>
      </c>
      <c r="W21" s="125">
        <v>3.1040000000000001</v>
      </c>
      <c r="AD21" s="125" t="s">
        <v>277</v>
      </c>
      <c r="AF21" s="125" t="s">
        <v>712</v>
      </c>
      <c r="AG21" s="125" t="s">
        <v>706</v>
      </c>
      <c r="AL21" s="125" t="s">
        <v>708</v>
      </c>
      <c r="AM21" s="126">
        <v>45257</v>
      </c>
      <c r="AQ21" s="125">
        <v>19.393999999999998</v>
      </c>
      <c r="BA21" s="125" t="s">
        <v>437</v>
      </c>
      <c r="BB21" s="125">
        <v>5284609</v>
      </c>
    </row>
    <row r="22" spans="1:54" x14ac:dyDescent="0.3">
      <c r="A22" s="125" t="s">
        <v>294</v>
      </c>
      <c r="B22" s="125" t="s">
        <v>351</v>
      </c>
      <c r="C22" s="125" t="s">
        <v>57</v>
      </c>
      <c r="D22" s="125">
        <v>2</v>
      </c>
      <c r="E22" s="125">
        <v>3280.0070000000001</v>
      </c>
      <c r="F22" s="125">
        <v>6210.0079999999998</v>
      </c>
      <c r="G22" s="125">
        <v>595.00199999999995</v>
      </c>
      <c r="H22" s="125">
        <v>7744.03</v>
      </c>
      <c r="J22" s="125">
        <v>9800</v>
      </c>
      <c r="K22" s="126"/>
      <c r="L22" s="125" t="s">
        <v>349</v>
      </c>
      <c r="M22" s="126">
        <v>45243</v>
      </c>
      <c r="W22" s="125">
        <v>3.0150000000000001</v>
      </c>
      <c r="AD22" s="125" t="s">
        <v>584</v>
      </c>
      <c r="AF22" s="125" t="s">
        <v>706</v>
      </c>
      <c r="AG22" s="125" t="s">
        <v>713</v>
      </c>
      <c r="AL22" s="125" t="s">
        <v>708</v>
      </c>
      <c r="AM22" s="126">
        <v>45244</v>
      </c>
      <c r="AP22" s="125">
        <v>2</v>
      </c>
      <c r="AQ22" s="125">
        <v>26.437999999999999</v>
      </c>
      <c r="BA22" s="125" t="s">
        <v>570</v>
      </c>
      <c r="BB22" s="125">
        <v>5316468</v>
      </c>
    </row>
    <row r="23" spans="1:54" x14ac:dyDescent="0.3">
      <c r="A23" s="125" t="s">
        <v>294</v>
      </c>
      <c r="B23" s="125" t="s">
        <v>339</v>
      </c>
      <c r="C23" s="125" t="s">
        <v>57</v>
      </c>
      <c r="D23" s="125">
        <v>2</v>
      </c>
      <c r="E23" s="125">
        <v>3130.0140000000001</v>
      </c>
      <c r="F23" s="125">
        <v>7130.0010000000002</v>
      </c>
      <c r="G23" s="125">
        <v>595.00300000000004</v>
      </c>
      <c r="H23" s="125">
        <v>8677.7000000000007</v>
      </c>
      <c r="J23" s="125">
        <v>15370</v>
      </c>
      <c r="K23" s="126"/>
      <c r="L23" s="125" t="s">
        <v>349</v>
      </c>
      <c r="M23" s="126">
        <v>45275</v>
      </c>
      <c r="W23" s="125">
        <v>3.42</v>
      </c>
      <c r="AD23" s="125" t="s">
        <v>584</v>
      </c>
      <c r="AF23" s="125" t="s">
        <v>710</v>
      </c>
      <c r="AG23" s="125" t="s">
        <v>707</v>
      </c>
      <c r="AL23" s="125" t="s">
        <v>708</v>
      </c>
      <c r="AM23" s="126">
        <v>45278</v>
      </c>
      <c r="AP23" s="125">
        <v>2</v>
      </c>
      <c r="AQ23" s="125">
        <v>73.332999999999998</v>
      </c>
      <c r="BA23" s="125" t="s">
        <v>654</v>
      </c>
      <c r="BB23" s="125">
        <v>5331515</v>
      </c>
    </row>
    <row r="24" spans="1:54" x14ac:dyDescent="0.3">
      <c r="A24" s="125" t="s">
        <v>294</v>
      </c>
      <c r="B24" s="125" t="s">
        <v>227</v>
      </c>
      <c r="C24" s="125" t="s">
        <v>56</v>
      </c>
      <c r="D24" s="125">
        <v>4</v>
      </c>
      <c r="E24" s="125">
        <v>2920.0149999999999</v>
      </c>
      <c r="F24" s="125">
        <v>5110</v>
      </c>
      <c r="G24" s="125">
        <v>200.00200000000001</v>
      </c>
      <c r="H24" s="125">
        <v>7269.44</v>
      </c>
      <c r="J24" s="125">
        <v>13260</v>
      </c>
      <c r="K24" s="126"/>
      <c r="L24" s="125" t="s">
        <v>753</v>
      </c>
      <c r="M24" s="126">
        <v>45261</v>
      </c>
      <c r="W24" s="125">
        <v>2.97</v>
      </c>
      <c r="AD24" s="125" t="s">
        <v>277</v>
      </c>
      <c r="AF24" s="125" t="s">
        <v>710</v>
      </c>
      <c r="AG24" s="125" t="s">
        <v>712</v>
      </c>
      <c r="AL24" s="125" t="s">
        <v>708</v>
      </c>
      <c r="AM24" s="126">
        <v>45264</v>
      </c>
      <c r="AQ24" s="125">
        <v>23.006</v>
      </c>
      <c r="BA24" s="125" t="s">
        <v>484</v>
      </c>
      <c r="BB24" s="125">
        <v>5284787</v>
      </c>
    </row>
    <row r="25" spans="1:54" x14ac:dyDescent="0.3">
      <c r="A25" s="125" t="s">
        <v>294</v>
      </c>
      <c r="B25" s="125" t="s">
        <v>324</v>
      </c>
      <c r="C25" s="125" t="s">
        <v>57</v>
      </c>
      <c r="D25" s="125">
        <v>2</v>
      </c>
      <c r="E25" s="125">
        <v>3280.0070000000001</v>
      </c>
      <c r="F25" s="125">
        <v>8090.0020000000004</v>
      </c>
      <c r="G25" s="125">
        <v>595</v>
      </c>
      <c r="H25" s="125">
        <v>8654.86</v>
      </c>
      <c r="J25" s="125">
        <v>13070</v>
      </c>
      <c r="K25" s="126"/>
      <c r="L25" s="125" t="s">
        <v>349</v>
      </c>
      <c r="M25" s="126">
        <v>45261</v>
      </c>
      <c r="W25" s="125">
        <v>3.38</v>
      </c>
      <c r="AD25" s="125" t="s">
        <v>584</v>
      </c>
      <c r="AF25" s="125" t="s">
        <v>710</v>
      </c>
      <c r="AG25" s="125" t="s">
        <v>712</v>
      </c>
      <c r="AL25" s="125" t="s">
        <v>280</v>
      </c>
      <c r="AM25" s="126">
        <v>45264</v>
      </c>
      <c r="AP25" s="125">
        <v>5</v>
      </c>
      <c r="AQ25" s="125">
        <v>49.936999999999998</v>
      </c>
      <c r="BA25" s="125" t="s">
        <v>556</v>
      </c>
      <c r="BB25" s="125">
        <v>5316440</v>
      </c>
    </row>
    <row r="26" spans="1:54" x14ac:dyDescent="0.3">
      <c r="A26" s="125" t="s">
        <v>294</v>
      </c>
      <c r="B26" s="125" t="s">
        <v>204</v>
      </c>
      <c r="C26" s="125" t="s">
        <v>56</v>
      </c>
      <c r="D26" s="125">
        <v>4</v>
      </c>
      <c r="E26" s="125">
        <v>3130.0010000000002</v>
      </c>
      <c r="F26" s="125">
        <v>2302</v>
      </c>
      <c r="G26" s="125">
        <v>200.00200000000001</v>
      </c>
      <c r="H26" s="125">
        <v>3472.23</v>
      </c>
      <c r="J26" s="125">
        <v>11060</v>
      </c>
      <c r="K26" s="126"/>
      <c r="L26" s="125" t="s">
        <v>278</v>
      </c>
      <c r="M26" s="126">
        <v>45250</v>
      </c>
      <c r="W26" s="125">
        <v>1.417</v>
      </c>
      <c r="AD26" s="125" t="s">
        <v>277</v>
      </c>
      <c r="AF26" s="125" t="s">
        <v>712</v>
      </c>
      <c r="AG26" s="125" t="s">
        <v>711</v>
      </c>
      <c r="AL26" s="125" t="s">
        <v>708</v>
      </c>
      <c r="AM26" s="126">
        <v>45251</v>
      </c>
      <c r="AQ26" s="125">
        <v>13.683999999999999</v>
      </c>
      <c r="BA26" s="125" t="s">
        <v>420</v>
      </c>
      <c r="BB26" s="125">
        <v>5284544</v>
      </c>
    </row>
    <row r="27" spans="1:54" x14ac:dyDescent="0.3">
      <c r="A27" s="125" t="s">
        <v>294</v>
      </c>
      <c r="B27" s="125" t="s">
        <v>265</v>
      </c>
      <c r="C27" s="125" t="s">
        <v>56</v>
      </c>
      <c r="D27" s="125">
        <v>1</v>
      </c>
      <c r="E27" s="125">
        <v>3630.0070000000001</v>
      </c>
      <c r="F27" s="125">
        <v>6180</v>
      </c>
      <c r="G27" s="125">
        <v>200.03700000000001</v>
      </c>
      <c r="H27" s="125">
        <v>9463.42</v>
      </c>
      <c r="J27" s="125">
        <v>14450</v>
      </c>
      <c r="K27" s="126"/>
      <c r="L27" s="125" t="s">
        <v>754</v>
      </c>
      <c r="M27" s="126">
        <v>45271</v>
      </c>
      <c r="W27" s="125">
        <v>3.8530000000000002</v>
      </c>
      <c r="AD27" s="125" t="s">
        <v>277</v>
      </c>
      <c r="AF27" s="125" t="s">
        <v>710</v>
      </c>
      <c r="AG27" s="125" t="s">
        <v>710</v>
      </c>
      <c r="AL27" s="125" t="s">
        <v>708</v>
      </c>
      <c r="AM27" s="126">
        <v>45272</v>
      </c>
      <c r="AQ27" s="125">
        <v>53.469000000000001</v>
      </c>
      <c r="BA27" s="125" t="s">
        <v>638</v>
      </c>
      <c r="BB27" s="125">
        <v>5332481</v>
      </c>
    </row>
    <row r="28" spans="1:54" x14ac:dyDescent="0.3">
      <c r="A28" s="125" t="s">
        <v>294</v>
      </c>
      <c r="B28" s="125" t="s">
        <v>216</v>
      </c>
      <c r="C28" s="125" t="s">
        <v>56</v>
      </c>
      <c r="D28" s="125">
        <v>4</v>
      </c>
      <c r="E28" s="125">
        <v>3130.0010000000002</v>
      </c>
      <c r="F28" s="125">
        <v>3341</v>
      </c>
      <c r="G28" s="125">
        <v>200.001</v>
      </c>
      <c r="H28" s="125">
        <v>1910.73</v>
      </c>
      <c r="J28" s="125">
        <v>11180</v>
      </c>
      <c r="K28" s="126"/>
      <c r="L28" s="125" t="s">
        <v>278</v>
      </c>
      <c r="M28" s="126">
        <v>45250</v>
      </c>
      <c r="W28" s="125">
        <v>0.76200000000000001</v>
      </c>
      <c r="AD28" s="125" t="s">
        <v>277</v>
      </c>
      <c r="AF28" s="125" t="s">
        <v>712</v>
      </c>
      <c r="AG28" s="125" t="s">
        <v>711</v>
      </c>
      <c r="AL28" s="125" t="s">
        <v>708</v>
      </c>
      <c r="AM28" s="126">
        <v>45251</v>
      </c>
      <c r="AP28" s="125">
        <v>3</v>
      </c>
      <c r="AQ28" s="125">
        <v>13.866</v>
      </c>
      <c r="BA28" s="125" t="s">
        <v>460</v>
      </c>
      <c r="BB28" s="125">
        <v>5284689</v>
      </c>
    </row>
    <row r="29" spans="1:54" x14ac:dyDescent="0.3">
      <c r="A29" s="125" t="s">
        <v>294</v>
      </c>
      <c r="B29" s="125" t="s">
        <v>319</v>
      </c>
      <c r="C29" s="125" t="s">
        <v>57</v>
      </c>
      <c r="D29" s="125">
        <v>4</v>
      </c>
      <c r="E29" s="125">
        <v>3280.0210000000002</v>
      </c>
      <c r="F29" s="125">
        <v>5340.027</v>
      </c>
      <c r="G29" s="125">
        <v>595.01199999999994</v>
      </c>
      <c r="H29" s="125">
        <v>6757.62</v>
      </c>
      <c r="J29" s="125">
        <v>9780</v>
      </c>
      <c r="K29" s="126"/>
      <c r="L29" s="125" t="s">
        <v>349</v>
      </c>
      <c r="M29" s="126">
        <v>45243</v>
      </c>
      <c r="W29" s="125">
        <v>2.6760000000000002</v>
      </c>
      <c r="AD29" s="125" t="s">
        <v>584</v>
      </c>
      <c r="AF29" s="125" t="s">
        <v>706</v>
      </c>
      <c r="AG29" s="125" t="s">
        <v>713</v>
      </c>
      <c r="AL29" s="125" t="s">
        <v>708</v>
      </c>
      <c r="AM29" s="126">
        <v>45244</v>
      </c>
      <c r="AP29" s="125">
        <v>1</v>
      </c>
      <c r="AQ29" s="125">
        <v>17.542000000000002</v>
      </c>
      <c r="BA29" s="125" t="s">
        <v>597</v>
      </c>
      <c r="BB29" s="125">
        <v>5326751</v>
      </c>
    </row>
    <row r="30" spans="1:54" x14ac:dyDescent="0.3">
      <c r="A30" s="125" t="s">
        <v>294</v>
      </c>
      <c r="B30" s="125" t="s">
        <v>193</v>
      </c>
      <c r="C30" s="125" t="s">
        <v>56</v>
      </c>
      <c r="D30" s="125">
        <v>2</v>
      </c>
      <c r="E30" s="125">
        <v>3630</v>
      </c>
      <c r="F30" s="125">
        <v>2531</v>
      </c>
      <c r="G30" s="125">
        <v>200.001</v>
      </c>
      <c r="H30" s="125">
        <v>4460.0600000000004</v>
      </c>
      <c r="J30" s="125">
        <v>6340</v>
      </c>
      <c r="K30" s="126">
        <v>45159</v>
      </c>
      <c r="L30" s="125" t="s">
        <v>278</v>
      </c>
      <c r="M30" s="126">
        <v>45215</v>
      </c>
      <c r="W30" s="125">
        <v>1.8240000000000001</v>
      </c>
      <c r="AD30" s="125" t="s">
        <v>277</v>
      </c>
      <c r="AF30" s="125" t="s">
        <v>711</v>
      </c>
      <c r="AG30" s="125" t="s">
        <v>710</v>
      </c>
      <c r="AL30" s="125" t="s">
        <v>708</v>
      </c>
      <c r="AM30" s="126">
        <v>45216</v>
      </c>
      <c r="AQ30" s="125">
        <v>10.656000000000001</v>
      </c>
      <c r="BA30" s="125" t="s">
        <v>770</v>
      </c>
      <c r="BB30" s="125">
        <v>5287953</v>
      </c>
    </row>
    <row r="31" spans="1:54" x14ac:dyDescent="0.3">
      <c r="A31" s="125" t="s">
        <v>294</v>
      </c>
      <c r="B31" s="125" t="s">
        <v>491</v>
      </c>
      <c r="C31" s="125" t="s">
        <v>57</v>
      </c>
      <c r="D31" s="125">
        <v>1</v>
      </c>
      <c r="E31" s="125">
        <v>3280.0070000000001</v>
      </c>
      <c r="F31" s="125">
        <v>2239.9989999999998</v>
      </c>
      <c r="G31" s="125">
        <v>545.00699999999995</v>
      </c>
      <c r="H31" s="125">
        <v>3434.71</v>
      </c>
      <c r="J31" s="125">
        <v>13140</v>
      </c>
      <c r="K31" s="126">
        <v>45149</v>
      </c>
      <c r="L31" s="125" t="s">
        <v>753</v>
      </c>
      <c r="M31" s="126">
        <v>45261</v>
      </c>
      <c r="W31" s="125">
        <v>1.361</v>
      </c>
      <c r="AD31" s="125" t="s">
        <v>584</v>
      </c>
      <c r="AF31" s="125" t="s">
        <v>710</v>
      </c>
      <c r="AG31" s="125" t="s">
        <v>712</v>
      </c>
      <c r="AL31" s="125" t="s">
        <v>708</v>
      </c>
      <c r="AM31" s="126">
        <v>45264</v>
      </c>
      <c r="AQ31" s="125">
        <v>19.943999999999999</v>
      </c>
      <c r="BA31" s="125" t="s">
        <v>580</v>
      </c>
      <c r="BB31" s="125">
        <v>5316483</v>
      </c>
    </row>
    <row r="32" spans="1:54" x14ac:dyDescent="0.3">
      <c r="A32" s="125" t="s">
        <v>294</v>
      </c>
      <c r="B32" s="125" t="s">
        <v>196</v>
      </c>
      <c r="C32" s="125" t="s">
        <v>56</v>
      </c>
      <c r="D32" s="125">
        <v>4</v>
      </c>
      <c r="E32" s="125">
        <v>2920.0070000000001</v>
      </c>
      <c r="F32" s="125">
        <v>3430</v>
      </c>
      <c r="G32" s="125">
        <v>200.006</v>
      </c>
      <c r="H32" s="125">
        <v>4869.1400000000003</v>
      </c>
      <c r="J32" s="125">
        <v>9980</v>
      </c>
      <c r="K32" s="126"/>
      <c r="L32" s="125" t="s">
        <v>753</v>
      </c>
      <c r="M32" s="126">
        <v>45244</v>
      </c>
      <c r="W32" s="125">
        <v>1.988</v>
      </c>
      <c r="AD32" s="125" t="s">
        <v>277</v>
      </c>
      <c r="AF32" s="125" t="s">
        <v>706</v>
      </c>
      <c r="AG32" s="125" t="s">
        <v>713</v>
      </c>
      <c r="AL32" s="125" t="s">
        <v>708</v>
      </c>
      <c r="AM32" s="126">
        <v>45245</v>
      </c>
      <c r="AQ32" s="125">
        <v>15.66</v>
      </c>
      <c r="BA32" s="125" t="s">
        <v>470</v>
      </c>
      <c r="BB32" s="125">
        <v>5284722</v>
      </c>
    </row>
    <row r="33" spans="1:54" x14ac:dyDescent="0.3">
      <c r="A33" s="125" t="s">
        <v>294</v>
      </c>
      <c r="B33" s="125" t="s">
        <v>232</v>
      </c>
      <c r="C33" s="125" t="s">
        <v>56</v>
      </c>
      <c r="D33" s="125">
        <v>2</v>
      </c>
      <c r="E33" s="125">
        <v>3630</v>
      </c>
      <c r="F33" s="125">
        <v>1560</v>
      </c>
      <c r="G33" s="125">
        <v>200</v>
      </c>
      <c r="H33" s="125">
        <v>2774.57</v>
      </c>
      <c r="J33" s="125">
        <v>6370</v>
      </c>
      <c r="K33" s="126">
        <v>45159</v>
      </c>
      <c r="L33" s="125" t="s">
        <v>753</v>
      </c>
      <c r="M33" s="126">
        <v>45215</v>
      </c>
      <c r="W33" s="125">
        <v>1.1240000000000001</v>
      </c>
      <c r="AD33" s="125" t="s">
        <v>277</v>
      </c>
      <c r="AF33" s="125" t="s">
        <v>711</v>
      </c>
      <c r="AG33" s="125" t="s">
        <v>710</v>
      </c>
      <c r="AL33" s="125" t="s">
        <v>765</v>
      </c>
      <c r="AM33" s="126">
        <v>45216</v>
      </c>
      <c r="AQ33" s="125">
        <v>23.03</v>
      </c>
      <c r="BA33" s="125" t="s">
        <v>766</v>
      </c>
      <c r="BB33" s="125">
        <v>5287944</v>
      </c>
    </row>
    <row r="34" spans="1:54" x14ac:dyDescent="0.3">
      <c r="A34" s="125" t="s">
        <v>294</v>
      </c>
      <c r="B34" s="125" t="s">
        <v>269</v>
      </c>
      <c r="C34" s="125" t="s">
        <v>56</v>
      </c>
      <c r="D34" s="125">
        <v>4</v>
      </c>
      <c r="E34" s="125">
        <v>2920</v>
      </c>
      <c r="F34" s="125">
        <v>2531</v>
      </c>
      <c r="G34" s="125">
        <v>200.001</v>
      </c>
      <c r="H34" s="125">
        <v>3588.59</v>
      </c>
      <c r="J34" s="125">
        <v>13430</v>
      </c>
      <c r="K34" s="126"/>
      <c r="L34" s="125" t="s">
        <v>278</v>
      </c>
      <c r="M34" s="126">
        <v>45264</v>
      </c>
      <c r="W34" s="125">
        <v>1.4670000000000001</v>
      </c>
      <c r="AD34" s="125" t="s">
        <v>277</v>
      </c>
      <c r="AF34" s="125" t="s">
        <v>710</v>
      </c>
      <c r="AG34" s="125" t="s">
        <v>712</v>
      </c>
      <c r="AL34" s="125" t="s">
        <v>708</v>
      </c>
      <c r="AM34" s="126">
        <v>45265</v>
      </c>
      <c r="AQ34" s="125">
        <v>10.656000000000001</v>
      </c>
      <c r="BA34" s="125" t="s">
        <v>439</v>
      </c>
      <c r="BB34" s="125">
        <v>5284612</v>
      </c>
    </row>
    <row r="35" spans="1:54" x14ac:dyDescent="0.3">
      <c r="A35" s="125" t="s">
        <v>294</v>
      </c>
      <c r="B35" s="125" t="s">
        <v>355</v>
      </c>
      <c r="C35" s="125" t="s">
        <v>57</v>
      </c>
      <c r="D35" s="125">
        <v>2</v>
      </c>
      <c r="E35" s="125">
        <v>3280.0070000000001</v>
      </c>
      <c r="F35" s="125">
        <v>2239.9989999999998</v>
      </c>
      <c r="G35" s="125">
        <v>545.00699999999995</v>
      </c>
      <c r="H35" s="125">
        <v>3435.98</v>
      </c>
      <c r="J35" s="125">
        <v>9760</v>
      </c>
      <c r="K35" s="126"/>
      <c r="L35" s="125" t="s">
        <v>753</v>
      </c>
      <c r="M35" s="126">
        <v>45243</v>
      </c>
      <c r="W35" s="125">
        <v>1.361</v>
      </c>
      <c r="AD35" s="125" t="s">
        <v>584</v>
      </c>
      <c r="AF35" s="125" t="s">
        <v>706</v>
      </c>
      <c r="AG35" s="125" t="s">
        <v>713</v>
      </c>
      <c r="AL35" s="125" t="s">
        <v>708</v>
      </c>
      <c r="AM35" s="126">
        <v>45244</v>
      </c>
      <c r="AQ35" s="125">
        <v>21.288</v>
      </c>
      <c r="BA35" s="125" t="s">
        <v>553</v>
      </c>
      <c r="BB35" s="125">
        <v>5316429</v>
      </c>
    </row>
    <row r="36" spans="1:54" x14ac:dyDescent="0.3">
      <c r="A36" s="125" t="s">
        <v>294</v>
      </c>
      <c r="B36" s="125" t="s">
        <v>336</v>
      </c>
      <c r="C36" s="125" t="s">
        <v>57</v>
      </c>
      <c r="D36" s="125">
        <v>2</v>
      </c>
      <c r="E36" s="125">
        <v>3130.0120000000002</v>
      </c>
      <c r="F36" s="125">
        <v>4679.9210000000003</v>
      </c>
      <c r="G36" s="125">
        <v>595.01099999999997</v>
      </c>
      <c r="H36" s="125">
        <v>5630.66</v>
      </c>
      <c r="J36" s="125">
        <v>15320</v>
      </c>
      <c r="K36" s="126"/>
      <c r="L36" s="125" t="s">
        <v>349</v>
      </c>
      <c r="M36" s="126">
        <v>45275</v>
      </c>
      <c r="W36" s="125">
        <v>2.222</v>
      </c>
      <c r="AD36" s="125" t="s">
        <v>584</v>
      </c>
      <c r="AF36" s="125" t="s">
        <v>710</v>
      </c>
      <c r="AG36" s="125" t="s">
        <v>707</v>
      </c>
      <c r="AL36" s="125" t="s">
        <v>708</v>
      </c>
      <c r="AM36" s="126">
        <v>45278</v>
      </c>
      <c r="AP36" s="125">
        <v>1</v>
      </c>
      <c r="AQ36" s="125">
        <v>30.79</v>
      </c>
      <c r="BA36" s="125" t="s">
        <v>653</v>
      </c>
      <c r="BB36" s="125">
        <v>5331511</v>
      </c>
    </row>
    <row r="37" spans="1:54" x14ac:dyDescent="0.3">
      <c r="A37" s="125" t="s">
        <v>294</v>
      </c>
      <c r="B37" s="125" t="s">
        <v>268</v>
      </c>
      <c r="C37" s="125" t="s">
        <v>56</v>
      </c>
      <c r="D37" s="125">
        <v>1</v>
      </c>
      <c r="E37" s="125">
        <v>3120</v>
      </c>
      <c r="F37" s="125">
        <v>2302</v>
      </c>
      <c r="G37" s="125">
        <v>200.00200000000001</v>
      </c>
      <c r="H37" s="125">
        <v>3473.43</v>
      </c>
      <c r="J37" s="125">
        <v>8770</v>
      </c>
      <c r="K37" s="126"/>
      <c r="L37" s="125" t="s">
        <v>278</v>
      </c>
      <c r="M37" s="126">
        <v>45236</v>
      </c>
      <c r="W37" s="125">
        <v>1.413</v>
      </c>
      <c r="AD37" s="125" t="s">
        <v>277</v>
      </c>
      <c r="AF37" s="125" t="s">
        <v>706</v>
      </c>
      <c r="AG37" s="125" t="s">
        <v>755</v>
      </c>
      <c r="AL37" s="125" t="s">
        <v>708</v>
      </c>
      <c r="AM37" s="126">
        <v>45237</v>
      </c>
      <c r="AQ37" s="125">
        <v>24.96</v>
      </c>
      <c r="BA37" s="125" t="s">
        <v>528</v>
      </c>
      <c r="BB37" s="125">
        <v>5312246</v>
      </c>
    </row>
    <row r="38" spans="1:54" x14ac:dyDescent="0.3">
      <c r="A38" s="125" t="s">
        <v>294</v>
      </c>
      <c r="B38" s="125" t="s">
        <v>376</v>
      </c>
      <c r="C38" s="125" t="s">
        <v>57</v>
      </c>
      <c r="D38" s="125">
        <v>1</v>
      </c>
      <c r="E38" s="125">
        <v>3280.01</v>
      </c>
      <c r="F38" s="125">
        <v>5150.04</v>
      </c>
      <c r="G38" s="125">
        <v>595.00099999999998</v>
      </c>
      <c r="H38" s="125">
        <v>6888.98</v>
      </c>
      <c r="J38" s="125">
        <v>13100</v>
      </c>
      <c r="K38" s="126">
        <v>45149</v>
      </c>
      <c r="L38" s="125" t="s">
        <v>349</v>
      </c>
      <c r="M38" s="126">
        <v>45261</v>
      </c>
      <c r="W38" s="125">
        <v>2.6720000000000002</v>
      </c>
      <c r="AD38" s="125" t="s">
        <v>584</v>
      </c>
      <c r="AF38" s="125" t="s">
        <v>710</v>
      </c>
      <c r="AG38" s="125" t="s">
        <v>712</v>
      </c>
      <c r="AL38" s="125" t="s">
        <v>708</v>
      </c>
      <c r="AM38" s="126">
        <v>45264</v>
      </c>
      <c r="AP38" s="125">
        <v>2</v>
      </c>
      <c r="AQ38" s="125">
        <v>30.738</v>
      </c>
      <c r="BA38" s="125" t="s">
        <v>578</v>
      </c>
      <c r="BB38" s="125">
        <v>5316479</v>
      </c>
    </row>
    <row r="39" spans="1:54" x14ac:dyDescent="0.3">
      <c r="A39" s="125" t="s">
        <v>294</v>
      </c>
      <c r="B39" s="125" t="s">
        <v>195</v>
      </c>
      <c r="C39" s="125" t="s">
        <v>56</v>
      </c>
      <c r="D39" s="125">
        <v>1</v>
      </c>
      <c r="E39" s="125">
        <v>2920.0149999999999</v>
      </c>
      <c r="F39" s="125">
        <v>2380.0010000000002</v>
      </c>
      <c r="G39" s="125">
        <v>200.03899999999999</v>
      </c>
      <c r="H39" s="125">
        <v>2301.39</v>
      </c>
      <c r="J39" s="125">
        <v>9950</v>
      </c>
      <c r="K39" s="126"/>
      <c r="L39" s="125" t="s">
        <v>753</v>
      </c>
      <c r="M39" s="126">
        <v>45244</v>
      </c>
      <c r="W39" s="125">
        <v>0.91600000000000004</v>
      </c>
      <c r="AD39" s="125" t="s">
        <v>277</v>
      </c>
      <c r="AF39" s="125" t="s">
        <v>706</v>
      </c>
      <c r="AG39" s="125" t="s">
        <v>713</v>
      </c>
      <c r="AL39" s="125" t="s">
        <v>708</v>
      </c>
      <c r="AM39" s="126">
        <v>45245</v>
      </c>
      <c r="AP39" s="125">
        <v>2</v>
      </c>
      <c r="AQ39" s="125">
        <v>14.186999999999999</v>
      </c>
      <c r="BA39" s="125" t="s">
        <v>457</v>
      </c>
      <c r="BB39" s="125">
        <v>5284682</v>
      </c>
    </row>
    <row r="40" spans="1:54" x14ac:dyDescent="0.3">
      <c r="A40" s="125" t="s">
        <v>294</v>
      </c>
      <c r="B40" s="125" t="s">
        <v>371</v>
      </c>
      <c r="C40" s="125" t="s">
        <v>56</v>
      </c>
      <c r="D40" s="125">
        <v>2</v>
      </c>
      <c r="E40" s="125">
        <v>1160</v>
      </c>
      <c r="F40" s="125">
        <v>7775.9880000000003</v>
      </c>
      <c r="G40" s="125">
        <v>140</v>
      </c>
      <c r="H40" s="125">
        <v>3112.07</v>
      </c>
      <c r="J40" s="125">
        <v>7890</v>
      </c>
      <c r="K40" s="126">
        <v>45167</v>
      </c>
      <c r="L40" s="125" t="s">
        <v>278</v>
      </c>
      <c r="M40" s="126">
        <v>45226</v>
      </c>
      <c r="W40" s="125">
        <v>1.2569999999999999</v>
      </c>
      <c r="AD40" s="125" t="s">
        <v>359</v>
      </c>
      <c r="AF40" s="125" t="s">
        <v>711</v>
      </c>
      <c r="AG40" s="125" t="s">
        <v>709</v>
      </c>
      <c r="AL40" s="125" t="s">
        <v>708</v>
      </c>
      <c r="AM40" s="126">
        <v>45229</v>
      </c>
      <c r="AQ40" s="125">
        <v>29.251999999999999</v>
      </c>
      <c r="BA40" s="125" t="s">
        <v>370</v>
      </c>
      <c r="BB40" s="125">
        <v>5161394</v>
      </c>
    </row>
    <row r="41" spans="1:54" x14ac:dyDescent="0.3">
      <c r="A41" s="125" t="s">
        <v>294</v>
      </c>
      <c r="B41" s="125" t="s">
        <v>338</v>
      </c>
      <c r="C41" s="125" t="s">
        <v>57</v>
      </c>
      <c r="D41" s="125">
        <v>2</v>
      </c>
      <c r="E41" s="125">
        <v>3130.0039999999999</v>
      </c>
      <c r="F41" s="125">
        <v>3405.0079999999998</v>
      </c>
      <c r="G41" s="125">
        <v>545.01300000000003</v>
      </c>
      <c r="H41" s="125">
        <v>6374.18</v>
      </c>
      <c r="J41" s="125">
        <v>15380</v>
      </c>
      <c r="K41" s="126"/>
      <c r="L41" s="125" t="s">
        <v>348</v>
      </c>
      <c r="M41" s="126"/>
      <c r="W41" s="125">
        <v>2.5270000000000001</v>
      </c>
      <c r="AD41" s="125" t="s">
        <v>584</v>
      </c>
      <c r="AF41" s="125" t="s">
        <v>710</v>
      </c>
      <c r="AG41" s="125" t="s">
        <v>707</v>
      </c>
      <c r="AL41" s="125" t="s">
        <v>708</v>
      </c>
      <c r="AM41" s="126">
        <v>45278</v>
      </c>
      <c r="AQ41" s="125">
        <v>46.869</v>
      </c>
      <c r="BA41" s="125" t="s">
        <v>758</v>
      </c>
      <c r="BB41" s="125">
        <v>5372759</v>
      </c>
    </row>
    <row r="42" spans="1:54" x14ac:dyDescent="0.3">
      <c r="A42" s="125" t="s">
        <v>294</v>
      </c>
      <c r="B42" s="125" t="s">
        <v>215</v>
      </c>
      <c r="C42" s="125" t="s">
        <v>56</v>
      </c>
      <c r="D42" s="125">
        <v>3</v>
      </c>
      <c r="E42" s="125">
        <v>2930.0070000000001</v>
      </c>
      <c r="F42" s="125">
        <v>4531</v>
      </c>
      <c r="G42" s="125">
        <v>200.03800000000001</v>
      </c>
      <c r="H42" s="125">
        <v>4933.3599999999997</v>
      </c>
      <c r="J42" s="125">
        <v>11170</v>
      </c>
      <c r="K42" s="126"/>
      <c r="L42" s="125" t="s">
        <v>278</v>
      </c>
      <c r="M42" s="126">
        <v>45250</v>
      </c>
      <c r="W42" s="125">
        <v>2.012</v>
      </c>
      <c r="AD42" s="125" t="s">
        <v>277</v>
      </c>
      <c r="AF42" s="125" t="s">
        <v>712</v>
      </c>
      <c r="AG42" s="125" t="s">
        <v>711</v>
      </c>
      <c r="AL42" s="125" t="s">
        <v>708</v>
      </c>
      <c r="AM42" s="126">
        <v>45251</v>
      </c>
      <c r="AQ42" s="125">
        <v>26.478999999999999</v>
      </c>
      <c r="BA42" s="125" t="s">
        <v>412</v>
      </c>
      <c r="BB42" s="125">
        <v>5284508</v>
      </c>
    </row>
    <row r="43" spans="1:54" x14ac:dyDescent="0.3">
      <c r="A43" s="125" t="s">
        <v>294</v>
      </c>
      <c r="B43" s="125" t="s">
        <v>341</v>
      </c>
      <c r="C43" s="125" t="s">
        <v>57</v>
      </c>
      <c r="D43" s="125">
        <v>1</v>
      </c>
      <c r="E43" s="125">
        <v>3780.0059999999999</v>
      </c>
      <c r="F43" s="125">
        <v>5420.0379999999996</v>
      </c>
      <c r="G43" s="125">
        <v>595.00099999999998</v>
      </c>
      <c r="H43" s="125">
        <v>9062</v>
      </c>
      <c r="J43" s="125">
        <v>14220</v>
      </c>
      <c r="K43" s="126"/>
      <c r="L43" s="125" t="s">
        <v>349</v>
      </c>
      <c r="M43" s="126">
        <v>45268</v>
      </c>
      <c r="W43" s="125">
        <v>3.488</v>
      </c>
      <c r="AD43" s="125" t="s">
        <v>584</v>
      </c>
      <c r="AF43" s="125" t="s">
        <v>710</v>
      </c>
      <c r="AG43" s="125" t="s">
        <v>710</v>
      </c>
      <c r="AL43" s="125" t="s">
        <v>708</v>
      </c>
      <c r="AM43" s="126">
        <v>45271</v>
      </c>
      <c r="AP43" s="125">
        <v>2</v>
      </c>
      <c r="AQ43" s="125">
        <v>40.587000000000003</v>
      </c>
      <c r="BA43" s="125" t="s">
        <v>623</v>
      </c>
      <c r="BB43" s="125">
        <v>5331514</v>
      </c>
    </row>
    <row r="44" spans="1:54" x14ac:dyDescent="0.3">
      <c r="A44" s="125" t="s">
        <v>294</v>
      </c>
      <c r="B44" s="125" t="s">
        <v>312</v>
      </c>
      <c r="C44" s="125" t="s">
        <v>57</v>
      </c>
      <c r="D44" s="125">
        <v>2</v>
      </c>
      <c r="E44" s="125">
        <v>3280.0070000000001</v>
      </c>
      <c r="F44" s="125">
        <v>5165.0429999999997</v>
      </c>
      <c r="G44" s="125">
        <v>595.00800000000004</v>
      </c>
      <c r="H44" s="125">
        <v>6046.21</v>
      </c>
      <c r="J44" s="125">
        <v>10950</v>
      </c>
      <c r="K44" s="126"/>
      <c r="L44" s="125" t="s">
        <v>349</v>
      </c>
      <c r="M44" s="126">
        <v>45247</v>
      </c>
      <c r="W44" s="125">
        <v>2.383</v>
      </c>
      <c r="AD44" s="125" t="s">
        <v>584</v>
      </c>
      <c r="AF44" s="125" t="s">
        <v>712</v>
      </c>
      <c r="AG44" s="125" t="s">
        <v>711</v>
      </c>
      <c r="AL44" s="125" t="s">
        <v>708</v>
      </c>
      <c r="AM44" s="126">
        <v>45250</v>
      </c>
      <c r="AP44" s="125">
        <v>1</v>
      </c>
      <c r="AQ44" s="125">
        <v>37.564</v>
      </c>
      <c r="BA44" s="125" t="s">
        <v>588</v>
      </c>
      <c r="BB44" s="125">
        <v>5326577</v>
      </c>
    </row>
    <row r="45" spans="1:54" x14ac:dyDescent="0.3">
      <c r="A45" s="125" t="s">
        <v>294</v>
      </c>
      <c r="B45" s="125" t="s">
        <v>232</v>
      </c>
      <c r="C45" s="125" t="s">
        <v>56</v>
      </c>
      <c r="D45" s="125">
        <v>2</v>
      </c>
      <c r="E45" s="125">
        <v>3630</v>
      </c>
      <c r="F45" s="125">
        <v>1560</v>
      </c>
      <c r="G45" s="125">
        <v>200</v>
      </c>
      <c r="H45" s="125">
        <v>2774.57</v>
      </c>
      <c r="J45" s="125">
        <v>14600</v>
      </c>
      <c r="K45" s="126"/>
      <c r="L45" s="125" t="s">
        <v>753</v>
      </c>
      <c r="M45" s="126">
        <v>45271</v>
      </c>
      <c r="W45" s="125">
        <v>1.1240000000000001</v>
      </c>
      <c r="AD45" s="125" t="s">
        <v>277</v>
      </c>
      <c r="AF45" s="125" t="s">
        <v>710</v>
      </c>
      <c r="AG45" s="125" t="s">
        <v>710</v>
      </c>
      <c r="AL45" s="125" t="s">
        <v>765</v>
      </c>
      <c r="AM45" s="126">
        <v>45272</v>
      </c>
      <c r="AQ45" s="125">
        <v>23.03</v>
      </c>
      <c r="BA45" s="125" t="s">
        <v>493</v>
      </c>
      <c r="BB45" s="125">
        <v>5310256</v>
      </c>
    </row>
    <row r="46" spans="1:54" x14ac:dyDescent="0.3">
      <c r="A46" s="125" t="s">
        <v>294</v>
      </c>
      <c r="B46" s="125" t="s">
        <v>296</v>
      </c>
      <c r="C46" s="125" t="s">
        <v>57</v>
      </c>
      <c r="D46" s="125">
        <v>1</v>
      </c>
      <c r="E46" s="125">
        <v>3280.0070000000001</v>
      </c>
      <c r="F46" s="125">
        <v>6410.0150000000003</v>
      </c>
      <c r="G46" s="125">
        <v>595.01</v>
      </c>
      <c r="H46" s="125">
        <v>7852.97</v>
      </c>
      <c r="J46" s="125">
        <v>13170</v>
      </c>
      <c r="K46" s="126">
        <v>45149</v>
      </c>
      <c r="L46" s="125" t="s">
        <v>349</v>
      </c>
      <c r="M46" s="126">
        <v>45261</v>
      </c>
      <c r="W46" s="125">
        <v>3.0609999999999999</v>
      </c>
      <c r="AD46" s="125" t="s">
        <v>584</v>
      </c>
      <c r="AF46" s="125" t="s">
        <v>710</v>
      </c>
      <c r="AG46" s="125" t="s">
        <v>712</v>
      </c>
      <c r="AL46" s="125" t="s">
        <v>708</v>
      </c>
      <c r="AM46" s="126">
        <v>45264</v>
      </c>
      <c r="AP46" s="125">
        <v>2</v>
      </c>
      <c r="AQ46" s="125">
        <v>27.55</v>
      </c>
      <c r="BA46" s="125" t="s">
        <v>565</v>
      </c>
      <c r="BB46" s="125">
        <v>5316462</v>
      </c>
    </row>
    <row r="47" spans="1:54" x14ac:dyDescent="0.3">
      <c r="A47" s="125" t="s">
        <v>294</v>
      </c>
      <c r="B47" s="125" t="s">
        <v>183</v>
      </c>
      <c r="C47" s="125" t="s">
        <v>56</v>
      </c>
      <c r="D47" s="125">
        <v>4</v>
      </c>
      <c r="E47" s="125">
        <v>2920.0070000000001</v>
      </c>
      <c r="F47" s="125">
        <v>2460</v>
      </c>
      <c r="G47" s="125">
        <v>200.00299999999999</v>
      </c>
      <c r="H47" s="125">
        <v>3395.42</v>
      </c>
      <c r="J47" s="125">
        <v>9890</v>
      </c>
      <c r="K47" s="126"/>
      <c r="L47" s="125" t="s">
        <v>753</v>
      </c>
      <c r="M47" s="126">
        <v>45243</v>
      </c>
      <c r="W47" s="125">
        <v>1.3740000000000001</v>
      </c>
      <c r="AD47" s="125" t="s">
        <v>277</v>
      </c>
      <c r="AF47" s="125" t="s">
        <v>706</v>
      </c>
      <c r="AG47" s="125" t="s">
        <v>713</v>
      </c>
      <c r="AL47" s="125" t="s">
        <v>708</v>
      </c>
      <c r="AM47" s="126">
        <v>45244</v>
      </c>
      <c r="AQ47" s="125">
        <v>32.081000000000003</v>
      </c>
      <c r="BA47" s="125" t="s">
        <v>397</v>
      </c>
      <c r="BB47" s="125">
        <v>5284430</v>
      </c>
    </row>
    <row r="48" spans="1:54" x14ac:dyDescent="0.3">
      <c r="A48" s="125" t="s">
        <v>294</v>
      </c>
      <c r="B48" s="125" t="s">
        <v>518</v>
      </c>
      <c r="C48" s="125" t="s">
        <v>57</v>
      </c>
      <c r="D48" s="125">
        <v>1</v>
      </c>
      <c r="E48" s="125">
        <v>3270.01</v>
      </c>
      <c r="F48" s="125">
        <v>4679.9870000000001</v>
      </c>
      <c r="G48" s="125">
        <v>595.01099999999997</v>
      </c>
      <c r="H48" s="125">
        <v>5088.18</v>
      </c>
      <c r="J48" s="125">
        <v>8590</v>
      </c>
      <c r="K48" s="126"/>
      <c r="L48" s="125" t="s">
        <v>349</v>
      </c>
      <c r="M48" s="126">
        <v>45233</v>
      </c>
      <c r="W48" s="125">
        <v>1.9750000000000001</v>
      </c>
      <c r="AD48" s="125" t="s">
        <v>584</v>
      </c>
      <c r="AF48" s="125" t="s">
        <v>706</v>
      </c>
      <c r="AG48" s="125" t="s">
        <v>755</v>
      </c>
      <c r="AL48" s="125" t="s">
        <v>708</v>
      </c>
      <c r="AM48" s="126">
        <v>45236</v>
      </c>
      <c r="AP48" s="125">
        <v>1</v>
      </c>
      <c r="AQ48" s="125">
        <v>23.917000000000002</v>
      </c>
      <c r="BA48" s="125" t="s">
        <v>517</v>
      </c>
      <c r="BB48" s="125">
        <v>5312211</v>
      </c>
    </row>
    <row r="49" spans="1:54" x14ac:dyDescent="0.3">
      <c r="A49" s="125" t="s">
        <v>294</v>
      </c>
      <c r="B49" s="125" t="s">
        <v>311</v>
      </c>
      <c r="C49" s="125" t="s">
        <v>57</v>
      </c>
      <c r="D49" s="125">
        <v>1</v>
      </c>
      <c r="E49" s="125">
        <v>3280.0079999999998</v>
      </c>
      <c r="F49" s="125">
        <v>3375.0129999999999</v>
      </c>
      <c r="G49" s="125">
        <v>595</v>
      </c>
      <c r="H49" s="125">
        <v>4086.86</v>
      </c>
      <c r="J49" s="125">
        <v>9730</v>
      </c>
      <c r="K49" s="126"/>
      <c r="L49" s="125" t="s">
        <v>348</v>
      </c>
      <c r="M49" s="126">
        <v>45243</v>
      </c>
      <c r="W49" s="125">
        <v>1.6140000000000001</v>
      </c>
      <c r="AD49" s="125" t="s">
        <v>584</v>
      </c>
      <c r="AF49" s="125" t="s">
        <v>706</v>
      </c>
      <c r="AG49" s="125" t="s">
        <v>713</v>
      </c>
      <c r="AL49" s="125" t="s">
        <v>708</v>
      </c>
      <c r="AM49" s="126">
        <v>45244</v>
      </c>
      <c r="AQ49" s="125">
        <v>26.812999999999999</v>
      </c>
      <c r="BA49" s="125" t="s">
        <v>606</v>
      </c>
      <c r="BB49" s="125">
        <v>5333241</v>
      </c>
    </row>
    <row r="50" spans="1:54" x14ac:dyDescent="0.3">
      <c r="A50" s="125" t="s">
        <v>294</v>
      </c>
      <c r="B50" s="125" t="s">
        <v>326</v>
      </c>
      <c r="C50" s="125" t="s">
        <v>57</v>
      </c>
      <c r="D50" s="125">
        <v>1</v>
      </c>
      <c r="E50" s="125">
        <v>3270.0070000000001</v>
      </c>
      <c r="F50" s="125">
        <v>5165.0429999999997</v>
      </c>
      <c r="G50" s="125">
        <v>545.03200000000004</v>
      </c>
      <c r="H50" s="125">
        <v>6133.07</v>
      </c>
      <c r="J50" s="125">
        <v>8700</v>
      </c>
      <c r="K50" s="126"/>
      <c r="L50" s="125" t="s">
        <v>349</v>
      </c>
      <c r="M50" s="126">
        <v>45236</v>
      </c>
      <c r="W50" s="125">
        <v>2.4180000000000001</v>
      </c>
      <c r="AD50" s="125" t="s">
        <v>584</v>
      </c>
      <c r="AF50" s="125" t="s">
        <v>706</v>
      </c>
      <c r="AG50" s="125" t="s">
        <v>755</v>
      </c>
      <c r="AL50" s="125" t="s">
        <v>708</v>
      </c>
      <c r="AM50" s="126">
        <v>45237</v>
      </c>
      <c r="AP50" s="125">
        <v>1</v>
      </c>
      <c r="AQ50" s="125">
        <v>32.253999999999998</v>
      </c>
      <c r="BA50" s="125" t="s">
        <v>543</v>
      </c>
      <c r="BB50" s="125">
        <v>5312289</v>
      </c>
    </row>
    <row r="51" spans="1:54" x14ac:dyDescent="0.3">
      <c r="A51" s="125" t="s">
        <v>294</v>
      </c>
      <c r="B51" s="125" t="s">
        <v>153</v>
      </c>
      <c r="C51" s="125" t="s">
        <v>56</v>
      </c>
      <c r="D51" s="125">
        <v>1</v>
      </c>
      <c r="E51" s="125">
        <v>3510</v>
      </c>
      <c r="F51" s="125">
        <v>1560</v>
      </c>
      <c r="G51" s="125">
        <v>200</v>
      </c>
      <c r="H51" s="125">
        <v>2680.81</v>
      </c>
      <c r="J51" s="125">
        <v>15560</v>
      </c>
      <c r="K51" s="126"/>
      <c r="L51" s="125" t="s">
        <v>753</v>
      </c>
      <c r="M51" s="126">
        <v>45278</v>
      </c>
      <c r="W51" s="125">
        <v>1.087</v>
      </c>
      <c r="AD51" s="125" t="s">
        <v>277</v>
      </c>
      <c r="AF51" s="125" t="s">
        <v>710</v>
      </c>
      <c r="AG51" s="125" t="s">
        <v>707</v>
      </c>
      <c r="AL51" s="125" t="s">
        <v>765</v>
      </c>
      <c r="AM51" s="126">
        <v>45279</v>
      </c>
      <c r="AQ51" s="125">
        <v>22.882000000000001</v>
      </c>
      <c r="BA51" s="125" t="s">
        <v>496</v>
      </c>
      <c r="BB51" s="125">
        <v>5310299</v>
      </c>
    </row>
    <row r="52" spans="1:54" x14ac:dyDescent="0.3">
      <c r="A52" s="125" t="s">
        <v>294</v>
      </c>
      <c r="B52" s="125" t="s">
        <v>143</v>
      </c>
      <c r="C52" s="125" t="s">
        <v>56</v>
      </c>
      <c r="D52" s="125">
        <v>1</v>
      </c>
      <c r="E52" s="125">
        <v>3400.0070000000001</v>
      </c>
      <c r="F52" s="125">
        <v>2081</v>
      </c>
      <c r="G52" s="125">
        <v>200.00399999999999</v>
      </c>
      <c r="H52" s="125">
        <v>3425.86</v>
      </c>
      <c r="J52" s="125">
        <v>6130</v>
      </c>
      <c r="K52" s="126">
        <v>45159</v>
      </c>
      <c r="L52" s="125" t="s">
        <v>278</v>
      </c>
      <c r="M52" s="126">
        <v>45212</v>
      </c>
      <c r="W52" s="125">
        <v>1.397</v>
      </c>
      <c r="AD52" s="125" t="s">
        <v>277</v>
      </c>
      <c r="AF52" s="125" t="s">
        <v>711</v>
      </c>
      <c r="AG52" s="125" t="s">
        <v>710</v>
      </c>
      <c r="AL52" s="125" t="s">
        <v>708</v>
      </c>
      <c r="AM52" s="126">
        <v>45215</v>
      </c>
      <c r="AQ52" s="125">
        <v>16.030999999999999</v>
      </c>
      <c r="BA52" s="125" t="s">
        <v>760</v>
      </c>
      <c r="BB52" s="125">
        <v>5287943</v>
      </c>
    </row>
    <row r="53" spans="1:54" x14ac:dyDescent="0.3">
      <c r="A53" s="125" t="s">
        <v>294</v>
      </c>
      <c r="B53" s="125" t="s">
        <v>356</v>
      </c>
      <c r="C53" s="125" t="s">
        <v>57</v>
      </c>
      <c r="D53" s="125">
        <v>1</v>
      </c>
      <c r="E53" s="125">
        <v>3130.01</v>
      </c>
      <c r="F53" s="125">
        <v>6210.0060000000003</v>
      </c>
      <c r="G53" s="125">
        <v>595.00199999999995</v>
      </c>
      <c r="H53" s="125">
        <v>7732.64</v>
      </c>
      <c r="J53" s="125">
        <v>14300</v>
      </c>
      <c r="K53" s="126"/>
      <c r="L53" s="125" t="s">
        <v>349</v>
      </c>
      <c r="M53" s="126">
        <v>45268</v>
      </c>
      <c r="W53" s="125">
        <v>3.0419999999999998</v>
      </c>
      <c r="AD53" s="125" t="s">
        <v>584</v>
      </c>
      <c r="AF53" s="125" t="s">
        <v>710</v>
      </c>
      <c r="AG53" s="125" t="s">
        <v>710</v>
      </c>
      <c r="AL53" s="125" t="s">
        <v>708</v>
      </c>
      <c r="AM53" s="126">
        <v>45271</v>
      </c>
      <c r="AP53" s="125">
        <v>3</v>
      </c>
      <c r="AQ53" s="125">
        <v>37.912999999999997</v>
      </c>
      <c r="BA53" s="125" t="s">
        <v>619</v>
      </c>
      <c r="BB53" s="125">
        <v>5331490</v>
      </c>
    </row>
    <row r="54" spans="1:54" x14ac:dyDescent="0.3">
      <c r="A54" s="125" t="s">
        <v>294</v>
      </c>
      <c r="B54" s="125" t="s">
        <v>224</v>
      </c>
      <c r="C54" s="125" t="s">
        <v>56</v>
      </c>
      <c r="D54" s="125">
        <v>4</v>
      </c>
      <c r="E54" s="125">
        <v>2920.0070000000001</v>
      </c>
      <c r="F54" s="125">
        <v>3845</v>
      </c>
      <c r="G54" s="125">
        <v>200.00299999999999</v>
      </c>
      <c r="H54" s="125">
        <v>5406.34</v>
      </c>
      <c r="J54" s="125">
        <v>13360</v>
      </c>
      <c r="K54" s="126"/>
      <c r="L54" s="125" t="s">
        <v>753</v>
      </c>
      <c r="M54" s="126">
        <v>45264</v>
      </c>
      <c r="W54" s="125">
        <v>2.202</v>
      </c>
      <c r="AD54" s="125" t="s">
        <v>277</v>
      </c>
      <c r="AF54" s="125" t="s">
        <v>710</v>
      </c>
      <c r="AG54" s="125" t="s">
        <v>712</v>
      </c>
      <c r="AL54" s="125" t="s">
        <v>708</v>
      </c>
      <c r="AM54" s="126">
        <v>45265</v>
      </c>
      <c r="AQ54" s="125">
        <v>30.431000000000001</v>
      </c>
      <c r="BA54" s="125" t="s">
        <v>459</v>
      </c>
      <c r="BB54" s="125">
        <v>5284688</v>
      </c>
    </row>
    <row r="55" spans="1:54" x14ac:dyDescent="0.3">
      <c r="A55" s="125" t="s">
        <v>294</v>
      </c>
      <c r="B55" s="125" t="s">
        <v>541</v>
      </c>
      <c r="C55" s="125" t="s">
        <v>57</v>
      </c>
      <c r="D55" s="125">
        <v>1</v>
      </c>
      <c r="E55" s="125">
        <v>3270.0070000000001</v>
      </c>
      <c r="F55" s="125">
        <v>2239.9989999999998</v>
      </c>
      <c r="G55" s="125">
        <v>545.00699999999995</v>
      </c>
      <c r="H55" s="125">
        <v>3476.67</v>
      </c>
      <c r="J55" s="125">
        <v>8640</v>
      </c>
      <c r="K55" s="126"/>
      <c r="L55" s="125" t="s">
        <v>753</v>
      </c>
      <c r="M55" s="126">
        <v>45236</v>
      </c>
      <c r="W55" s="125">
        <v>1.3740000000000001</v>
      </c>
      <c r="AD55" s="125" t="s">
        <v>584</v>
      </c>
      <c r="AF55" s="125" t="s">
        <v>706</v>
      </c>
      <c r="AG55" s="125" t="s">
        <v>755</v>
      </c>
      <c r="AL55" s="125" t="s">
        <v>708</v>
      </c>
      <c r="AM55" s="126">
        <v>45237</v>
      </c>
      <c r="AQ55" s="125">
        <v>21.201000000000001</v>
      </c>
      <c r="BA55" s="125" t="s">
        <v>540</v>
      </c>
      <c r="BB55" s="125">
        <v>5312282</v>
      </c>
    </row>
    <row r="56" spans="1:54" x14ac:dyDescent="0.3">
      <c r="A56" s="125" t="s">
        <v>294</v>
      </c>
      <c r="B56" s="125" t="s">
        <v>274</v>
      </c>
      <c r="C56" s="125" t="s">
        <v>56</v>
      </c>
      <c r="D56" s="125">
        <v>1</v>
      </c>
      <c r="E56" s="125">
        <v>2920.0070000000001</v>
      </c>
      <c r="F56" s="125">
        <v>3430</v>
      </c>
      <c r="G56" s="125">
        <v>200.006</v>
      </c>
      <c r="H56" s="125">
        <v>4866</v>
      </c>
      <c r="J56" s="125">
        <v>15460</v>
      </c>
      <c r="K56" s="126"/>
      <c r="L56" s="125" t="s">
        <v>753</v>
      </c>
      <c r="M56" s="126">
        <v>45275</v>
      </c>
      <c r="W56" s="125">
        <v>1.988</v>
      </c>
      <c r="AD56" s="125" t="s">
        <v>277</v>
      </c>
      <c r="AF56" s="125" t="s">
        <v>710</v>
      </c>
      <c r="AG56" s="125" t="s">
        <v>707</v>
      </c>
      <c r="AL56" s="125" t="s">
        <v>708</v>
      </c>
      <c r="AM56" s="126">
        <v>45278</v>
      </c>
      <c r="AQ56" s="125">
        <v>15.629</v>
      </c>
      <c r="BA56" s="125" t="s">
        <v>659</v>
      </c>
      <c r="BB56" s="125">
        <v>5332480</v>
      </c>
    </row>
    <row r="57" spans="1:54" x14ac:dyDescent="0.3">
      <c r="A57" s="125" t="s">
        <v>294</v>
      </c>
      <c r="B57" s="125" t="s">
        <v>545</v>
      </c>
      <c r="C57" s="125" t="s">
        <v>57</v>
      </c>
      <c r="D57" s="125">
        <v>1</v>
      </c>
      <c r="E57" s="125">
        <v>3270.002</v>
      </c>
      <c r="F57" s="125">
        <v>3145.0340000000001</v>
      </c>
      <c r="G57" s="125">
        <v>595</v>
      </c>
      <c r="H57" s="125">
        <v>3837.92</v>
      </c>
      <c r="J57" s="125">
        <v>8620</v>
      </c>
      <c r="K57" s="126"/>
      <c r="L57" s="125" t="s">
        <v>348</v>
      </c>
      <c r="M57" s="126">
        <v>45233</v>
      </c>
      <c r="W57" s="125">
        <v>1.5109999999999999</v>
      </c>
      <c r="AD57" s="125" t="s">
        <v>744</v>
      </c>
      <c r="AF57" s="125" t="s">
        <v>706</v>
      </c>
      <c r="AG57" s="125" t="s">
        <v>755</v>
      </c>
      <c r="AL57" s="125" t="s">
        <v>708</v>
      </c>
      <c r="AM57" s="126">
        <v>45236</v>
      </c>
      <c r="AP57" s="125">
        <v>2</v>
      </c>
      <c r="AQ57" s="125">
        <v>25.050999999999998</v>
      </c>
      <c r="BA57" s="125" t="s">
        <v>544</v>
      </c>
      <c r="BB57" s="125">
        <v>5312292</v>
      </c>
    </row>
    <row r="58" spans="1:54" x14ac:dyDescent="0.3">
      <c r="A58" s="125" t="s">
        <v>294</v>
      </c>
      <c r="B58" s="125" t="s">
        <v>304</v>
      </c>
      <c r="C58" s="125" t="s">
        <v>57</v>
      </c>
      <c r="D58" s="125">
        <v>2</v>
      </c>
      <c r="E58" s="125">
        <v>3280.0050000000001</v>
      </c>
      <c r="F58" s="125">
        <v>3634.9639999999999</v>
      </c>
      <c r="G58" s="125">
        <v>595.00099999999998</v>
      </c>
      <c r="H58" s="125">
        <v>4835.43</v>
      </c>
      <c r="J58" s="125">
        <v>12000</v>
      </c>
      <c r="K58" s="126"/>
      <c r="L58" s="125" t="s">
        <v>349</v>
      </c>
      <c r="M58" s="126">
        <v>45254</v>
      </c>
      <c r="W58" s="125">
        <v>1.9079999999999999</v>
      </c>
      <c r="AD58" s="125" t="s">
        <v>584</v>
      </c>
      <c r="AF58" s="125" t="s">
        <v>712</v>
      </c>
      <c r="AG58" s="125" t="s">
        <v>706</v>
      </c>
      <c r="AL58" s="125" t="s">
        <v>708</v>
      </c>
      <c r="AM58" s="126">
        <v>45257</v>
      </c>
      <c r="AP58" s="125">
        <v>2</v>
      </c>
      <c r="AQ58" s="125">
        <v>26.108000000000001</v>
      </c>
      <c r="BA58" s="125" t="s">
        <v>613</v>
      </c>
      <c r="BB58" s="125">
        <v>5331527</v>
      </c>
    </row>
    <row r="59" spans="1:54" x14ac:dyDescent="0.3">
      <c r="A59" s="125" t="s">
        <v>294</v>
      </c>
      <c r="B59" s="125" t="s">
        <v>339</v>
      </c>
      <c r="C59" s="125" t="s">
        <v>57</v>
      </c>
      <c r="D59" s="125">
        <v>2</v>
      </c>
      <c r="E59" s="125">
        <v>3130.0140000000001</v>
      </c>
      <c r="F59" s="125">
        <v>7130.0010000000002</v>
      </c>
      <c r="G59" s="125">
        <v>595.00300000000004</v>
      </c>
      <c r="H59" s="125">
        <v>8677.7000000000007</v>
      </c>
      <c r="J59" s="125">
        <v>7170</v>
      </c>
      <c r="K59" s="126"/>
      <c r="L59" s="125" t="s">
        <v>349</v>
      </c>
      <c r="M59" s="126">
        <v>45219</v>
      </c>
      <c r="W59" s="125">
        <v>3.42</v>
      </c>
      <c r="AD59" s="125" t="s">
        <v>584</v>
      </c>
      <c r="AF59" s="125" t="s">
        <v>711</v>
      </c>
      <c r="AG59" s="125" t="s">
        <v>707</v>
      </c>
      <c r="AL59" s="125" t="s">
        <v>708</v>
      </c>
      <c r="AM59" s="126">
        <v>45222</v>
      </c>
      <c r="AP59" s="125">
        <v>2</v>
      </c>
      <c r="AQ59" s="125">
        <v>73.332999999999998</v>
      </c>
      <c r="BA59" s="125" t="s">
        <v>358</v>
      </c>
      <c r="BB59" s="125">
        <v>5161420</v>
      </c>
    </row>
    <row r="60" spans="1:54" x14ac:dyDescent="0.3">
      <c r="A60" s="125" t="s">
        <v>294</v>
      </c>
      <c r="B60" s="125" t="s">
        <v>182</v>
      </c>
      <c r="C60" s="125" t="s">
        <v>56</v>
      </c>
      <c r="D60" s="125">
        <v>1</v>
      </c>
      <c r="E60" s="125">
        <v>360</v>
      </c>
      <c r="F60" s="125">
        <v>2200</v>
      </c>
      <c r="G60" s="125">
        <v>200.001</v>
      </c>
      <c r="H60" s="125">
        <v>385.14</v>
      </c>
      <c r="J60" s="125">
        <v>16110</v>
      </c>
      <c r="K60" s="126"/>
      <c r="L60" s="125" t="s">
        <v>753</v>
      </c>
      <c r="M60" s="126">
        <v>45283</v>
      </c>
      <c r="W60" s="125">
        <v>0.156</v>
      </c>
      <c r="AD60" s="125" t="s">
        <v>277</v>
      </c>
      <c r="AF60" s="125" t="s">
        <v>710</v>
      </c>
      <c r="AG60" s="125" t="s">
        <v>709</v>
      </c>
      <c r="AL60" s="125" t="s">
        <v>708</v>
      </c>
      <c r="AM60" s="126">
        <v>45287</v>
      </c>
      <c r="AP60" s="125">
        <v>1</v>
      </c>
      <c r="AQ60" s="125">
        <v>0.48199999999999998</v>
      </c>
      <c r="BA60" s="125" t="s">
        <v>499</v>
      </c>
      <c r="BB60" s="125">
        <v>5310349</v>
      </c>
    </row>
    <row r="61" spans="1:54" x14ac:dyDescent="0.3">
      <c r="A61" s="125" t="s">
        <v>294</v>
      </c>
      <c r="B61" s="125" t="s">
        <v>196</v>
      </c>
      <c r="C61" s="125" t="s">
        <v>56</v>
      </c>
      <c r="D61" s="125">
        <v>4</v>
      </c>
      <c r="E61" s="125">
        <v>2920.0070000000001</v>
      </c>
      <c r="F61" s="125">
        <v>3430</v>
      </c>
      <c r="G61" s="125">
        <v>200.006</v>
      </c>
      <c r="H61" s="125">
        <v>4869.1400000000003</v>
      </c>
      <c r="J61" s="125">
        <v>12250</v>
      </c>
      <c r="K61" s="126"/>
      <c r="L61" s="125" t="s">
        <v>753</v>
      </c>
      <c r="M61" s="126">
        <v>45257</v>
      </c>
      <c r="W61" s="125">
        <v>1.988</v>
      </c>
      <c r="AD61" s="125" t="s">
        <v>277</v>
      </c>
      <c r="AF61" s="125" t="s">
        <v>712</v>
      </c>
      <c r="AG61" s="125" t="s">
        <v>706</v>
      </c>
      <c r="AL61" s="125" t="s">
        <v>708</v>
      </c>
      <c r="AM61" s="126">
        <v>45258</v>
      </c>
      <c r="AQ61" s="125">
        <v>15.66</v>
      </c>
      <c r="BA61" s="125" t="s">
        <v>453</v>
      </c>
      <c r="BB61" s="125">
        <v>5284668</v>
      </c>
    </row>
    <row r="62" spans="1:54" x14ac:dyDescent="0.3">
      <c r="A62" s="125" t="s">
        <v>294</v>
      </c>
      <c r="B62" s="125" t="s">
        <v>196</v>
      </c>
      <c r="C62" s="125" t="s">
        <v>56</v>
      </c>
      <c r="D62" s="125">
        <v>4</v>
      </c>
      <c r="E62" s="125">
        <v>2920.0070000000001</v>
      </c>
      <c r="F62" s="125">
        <v>3430</v>
      </c>
      <c r="G62" s="125">
        <v>200.006</v>
      </c>
      <c r="H62" s="125">
        <v>4869.1400000000003</v>
      </c>
      <c r="J62" s="125">
        <v>13370</v>
      </c>
      <c r="K62" s="126"/>
      <c r="L62" s="125" t="s">
        <v>753</v>
      </c>
      <c r="M62" s="126">
        <v>45264</v>
      </c>
      <c r="W62" s="125">
        <v>1.988</v>
      </c>
      <c r="AD62" s="125" t="s">
        <v>277</v>
      </c>
      <c r="AF62" s="125" t="s">
        <v>710</v>
      </c>
      <c r="AG62" s="125" t="s">
        <v>712</v>
      </c>
      <c r="AL62" s="125" t="s">
        <v>708</v>
      </c>
      <c r="AM62" s="126">
        <v>45265</v>
      </c>
      <c r="AQ62" s="125">
        <v>15.66</v>
      </c>
      <c r="BA62" s="125" t="s">
        <v>474</v>
      </c>
      <c r="BB62" s="125">
        <v>5284745</v>
      </c>
    </row>
    <row r="63" spans="1:54" x14ac:dyDescent="0.3">
      <c r="A63" s="125" t="s">
        <v>294</v>
      </c>
      <c r="B63" s="125" t="s">
        <v>231</v>
      </c>
      <c r="C63" s="125" t="s">
        <v>56</v>
      </c>
      <c r="D63" s="125">
        <v>4</v>
      </c>
      <c r="E63" s="125">
        <v>2920.0070000000001</v>
      </c>
      <c r="F63" s="125">
        <v>5331</v>
      </c>
      <c r="G63" s="125">
        <v>200.00399999999999</v>
      </c>
      <c r="H63" s="125">
        <v>7584.72</v>
      </c>
      <c r="J63" s="125">
        <v>9850</v>
      </c>
      <c r="K63" s="126"/>
      <c r="L63" s="125" t="s">
        <v>278</v>
      </c>
      <c r="M63" s="126">
        <v>45243</v>
      </c>
      <c r="W63" s="125">
        <v>3.1040000000000001</v>
      </c>
      <c r="AD63" s="125" t="s">
        <v>277</v>
      </c>
      <c r="AF63" s="125" t="s">
        <v>706</v>
      </c>
      <c r="AG63" s="125" t="s">
        <v>713</v>
      </c>
      <c r="AL63" s="125" t="s">
        <v>708</v>
      </c>
      <c r="AM63" s="126">
        <v>45244</v>
      </c>
      <c r="AQ63" s="125">
        <v>19.393999999999998</v>
      </c>
      <c r="BA63" s="125" t="s">
        <v>486</v>
      </c>
      <c r="BB63" s="125">
        <v>5284802</v>
      </c>
    </row>
    <row r="64" spans="1:54" x14ac:dyDescent="0.3">
      <c r="A64" s="125" t="s">
        <v>294</v>
      </c>
      <c r="B64" s="125" t="s">
        <v>324</v>
      </c>
      <c r="C64" s="125" t="s">
        <v>57</v>
      </c>
      <c r="D64" s="125">
        <v>2</v>
      </c>
      <c r="E64" s="125">
        <v>3280.0070000000001</v>
      </c>
      <c r="F64" s="125">
        <v>8090.0020000000004</v>
      </c>
      <c r="G64" s="125">
        <v>595</v>
      </c>
      <c r="H64" s="125">
        <v>8654.86</v>
      </c>
      <c r="J64" s="125">
        <v>11950</v>
      </c>
      <c r="K64" s="126"/>
      <c r="L64" s="125" t="s">
        <v>349</v>
      </c>
      <c r="M64" s="126">
        <v>45254</v>
      </c>
      <c r="W64" s="125">
        <v>3.38</v>
      </c>
      <c r="AD64" s="125" t="s">
        <v>584</v>
      </c>
      <c r="AF64" s="125" t="s">
        <v>712</v>
      </c>
      <c r="AG64" s="125" t="s">
        <v>706</v>
      </c>
      <c r="AL64" s="125" t="s">
        <v>280</v>
      </c>
      <c r="AM64" s="126">
        <v>45257</v>
      </c>
      <c r="AP64" s="125">
        <v>5</v>
      </c>
      <c r="AQ64" s="125">
        <v>49.936999999999998</v>
      </c>
      <c r="BA64" s="125" t="s">
        <v>551</v>
      </c>
      <c r="BB64" s="125">
        <v>5316426</v>
      </c>
    </row>
    <row r="65" spans="1:54" x14ac:dyDescent="0.3">
      <c r="A65" s="125" t="s">
        <v>294</v>
      </c>
      <c r="B65" s="125" t="s">
        <v>142</v>
      </c>
      <c r="C65" s="125" t="s">
        <v>56</v>
      </c>
      <c r="D65" s="125">
        <v>1</v>
      </c>
      <c r="E65" s="125">
        <v>3120.0230000000001</v>
      </c>
      <c r="F65" s="125">
        <v>5660.9970000000003</v>
      </c>
      <c r="G65" s="125">
        <v>400.00400000000002</v>
      </c>
      <c r="H65" s="125">
        <v>8473.89</v>
      </c>
      <c r="J65" s="125">
        <v>8910</v>
      </c>
      <c r="K65" s="126"/>
      <c r="L65" s="125" t="s">
        <v>278</v>
      </c>
      <c r="M65" s="126">
        <v>45237</v>
      </c>
      <c r="W65" s="125">
        <v>3.399</v>
      </c>
      <c r="AD65" s="125" t="s">
        <v>350</v>
      </c>
      <c r="AF65" s="125" t="s">
        <v>706</v>
      </c>
      <c r="AG65" s="125" t="s">
        <v>755</v>
      </c>
      <c r="AL65" s="125" t="s">
        <v>708</v>
      </c>
      <c r="AM65" s="126">
        <v>45238</v>
      </c>
      <c r="AP65" s="125">
        <v>1</v>
      </c>
      <c r="AQ65" s="125">
        <v>115.42400000000001</v>
      </c>
      <c r="BA65" s="125" t="s">
        <v>521</v>
      </c>
      <c r="BB65" s="125">
        <v>5312225</v>
      </c>
    </row>
    <row r="66" spans="1:54" x14ac:dyDescent="0.3">
      <c r="A66" s="125" t="s">
        <v>294</v>
      </c>
      <c r="B66" s="125" t="s">
        <v>261</v>
      </c>
      <c r="C66" s="125" t="s">
        <v>56</v>
      </c>
      <c r="D66" s="125">
        <v>1</v>
      </c>
      <c r="E66" s="125">
        <v>3630.0070000000001</v>
      </c>
      <c r="F66" s="125">
        <v>4230</v>
      </c>
      <c r="G66" s="125">
        <v>200.03700000000001</v>
      </c>
      <c r="H66" s="125">
        <v>6353.33</v>
      </c>
      <c r="J66" s="125">
        <v>14420</v>
      </c>
      <c r="K66" s="126"/>
      <c r="L66" s="125" t="s">
        <v>754</v>
      </c>
      <c r="M66" s="126">
        <v>45271</v>
      </c>
      <c r="W66" s="125">
        <v>2.5880000000000001</v>
      </c>
      <c r="AD66" s="125" t="s">
        <v>277</v>
      </c>
      <c r="AF66" s="125" t="s">
        <v>710</v>
      </c>
      <c r="AG66" s="125" t="s">
        <v>710</v>
      </c>
      <c r="AL66" s="125" t="s">
        <v>708</v>
      </c>
      <c r="AM66" s="126">
        <v>45272</v>
      </c>
      <c r="AQ66" s="125">
        <v>33.417000000000002</v>
      </c>
      <c r="BA66" s="125" t="s">
        <v>642</v>
      </c>
      <c r="BB66" s="125">
        <v>5332493</v>
      </c>
    </row>
    <row r="67" spans="1:54" x14ac:dyDescent="0.3">
      <c r="A67" s="125" t="s">
        <v>294</v>
      </c>
      <c r="B67" s="125" t="s">
        <v>331</v>
      </c>
      <c r="C67" s="125" t="s">
        <v>57</v>
      </c>
      <c r="D67" s="125">
        <v>2</v>
      </c>
      <c r="E67" s="125">
        <v>3130.0079999999998</v>
      </c>
      <c r="F67" s="125">
        <v>7290.0709999999999</v>
      </c>
      <c r="G67" s="125">
        <v>595.029</v>
      </c>
      <c r="H67" s="125">
        <v>9356.82</v>
      </c>
      <c r="J67" s="125">
        <v>7110</v>
      </c>
      <c r="K67" s="126"/>
      <c r="L67" s="125" t="s">
        <v>348</v>
      </c>
      <c r="M67" s="126">
        <v>45219</v>
      </c>
      <c r="W67" s="125">
        <v>3.6829999999999998</v>
      </c>
      <c r="AD67" s="125" t="s">
        <v>584</v>
      </c>
      <c r="AF67" s="125" t="s">
        <v>711</v>
      </c>
      <c r="AG67" s="125" t="s">
        <v>707</v>
      </c>
      <c r="AL67" s="125" t="s">
        <v>708</v>
      </c>
      <c r="AM67" s="126">
        <v>45222</v>
      </c>
      <c r="AP67" s="125">
        <v>2</v>
      </c>
      <c r="AQ67" s="125">
        <v>80.302000000000007</v>
      </c>
      <c r="BA67" s="125" t="s">
        <v>381</v>
      </c>
      <c r="BB67" s="125">
        <v>5161499</v>
      </c>
    </row>
    <row r="68" spans="1:54" x14ac:dyDescent="0.3">
      <c r="A68" s="125" t="s">
        <v>294</v>
      </c>
      <c r="B68" s="125" t="s">
        <v>203</v>
      </c>
      <c r="C68" s="125" t="s">
        <v>56</v>
      </c>
      <c r="D68" s="125">
        <v>4</v>
      </c>
      <c r="E68" s="125">
        <v>2920.0070000000001</v>
      </c>
      <c r="F68" s="125">
        <v>4560</v>
      </c>
      <c r="G68" s="125">
        <v>200.04</v>
      </c>
      <c r="H68" s="125">
        <v>6370.73</v>
      </c>
      <c r="J68" s="125">
        <v>12260</v>
      </c>
      <c r="K68" s="126"/>
      <c r="L68" s="125" t="s">
        <v>753</v>
      </c>
      <c r="M68" s="126">
        <v>45257</v>
      </c>
      <c r="W68" s="125">
        <v>2.5920000000000001</v>
      </c>
      <c r="AD68" s="125" t="s">
        <v>277</v>
      </c>
      <c r="AF68" s="125" t="s">
        <v>712</v>
      </c>
      <c r="AG68" s="125" t="s">
        <v>706</v>
      </c>
      <c r="AL68" s="125" t="s">
        <v>708</v>
      </c>
      <c r="AM68" s="126">
        <v>45258</v>
      </c>
      <c r="AQ68" s="125">
        <v>45.067999999999998</v>
      </c>
      <c r="BA68" s="125" t="s">
        <v>475</v>
      </c>
      <c r="BB68" s="125">
        <v>5284748</v>
      </c>
    </row>
    <row r="69" spans="1:54" x14ac:dyDescent="0.3">
      <c r="A69" s="125" t="s">
        <v>294</v>
      </c>
      <c r="B69" s="125" t="s">
        <v>307</v>
      </c>
      <c r="C69" s="125" t="s">
        <v>57</v>
      </c>
      <c r="D69" s="125">
        <v>2</v>
      </c>
      <c r="E69" s="125">
        <v>3280.0010000000002</v>
      </c>
      <c r="F69" s="125">
        <v>8414.9989999999998</v>
      </c>
      <c r="G69" s="125">
        <v>595.03200000000004</v>
      </c>
      <c r="H69" s="125">
        <v>10403.700000000001</v>
      </c>
      <c r="J69" s="125">
        <v>9770</v>
      </c>
      <c r="K69" s="126"/>
      <c r="L69" s="125" t="s">
        <v>348</v>
      </c>
      <c r="M69" s="126">
        <v>45243</v>
      </c>
      <c r="W69" s="125">
        <v>4.1100000000000003</v>
      </c>
      <c r="AD69" s="125" t="s">
        <v>584</v>
      </c>
      <c r="AF69" s="125" t="s">
        <v>706</v>
      </c>
      <c r="AG69" s="125" t="s">
        <v>713</v>
      </c>
      <c r="AL69" s="125" t="s">
        <v>280</v>
      </c>
      <c r="AM69" s="126">
        <v>45244</v>
      </c>
      <c r="AP69" s="125">
        <v>1</v>
      </c>
      <c r="AQ69" s="125">
        <v>55.100999999999999</v>
      </c>
      <c r="BA69" s="125" t="s">
        <v>603</v>
      </c>
      <c r="BB69" s="125">
        <v>5326777</v>
      </c>
    </row>
    <row r="70" spans="1:54" x14ac:dyDescent="0.3">
      <c r="A70" s="125" t="s">
        <v>294</v>
      </c>
      <c r="B70" s="125" t="s">
        <v>378</v>
      </c>
      <c r="C70" s="125" t="s">
        <v>57</v>
      </c>
      <c r="D70" s="125">
        <v>2</v>
      </c>
      <c r="E70" s="125">
        <v>3130.0030000000002</v>
      </c>
      <c r="F70" s="125">
        <v>7775.0510000000004</v>
      </c>
      <c r="G70" s="125">
        <v>595.03</v>
      </c>
      <c r="H70" s="125">
        <v>9692.66</v>
      </c>
      <c r="J70" s="125">
        <v>7160</v>
      </c>
      <c r="K70" s="126"/>
      <c r="L70" s="125" t="s">
        <v>348</v>
      </c>
      <c r="M70" s="126">
        <v>45219</v>
      </c>
      <c r="W70" s="125">
        <v>3.8</v>
      </c>
      <c r="AD70" s="125" t="s">
        <v>584</v>
      </c>
      <c r="AF70" s="125" t="s">
        <v>711</v>
      </c>
      <c r="AG70" s="125" t="s">
        <v>707</v>
      </c>
      <c r="AL70" s="125" t="s">
        <v>708</v>
      </c>
      <c r="AM70" s="126">
        <v>45222</v>
      </c>
      <c r="AP70" s="125">
        <v>2</v>
      </c>
      <c r="AQ70" s="125">
        <v>68.846999999999994</v>
      </c>
      <c r="BA70" s="125" t="s">
        <v>377</v>
      </c>
      <c r="BB70" s="125">
        <v>5161449</v>
      </c>
    </row>
    <row r="71" spans="1:54" x14ac:dyDescent="0.3">
      <c r="A71" s="125" t="s">
        <v>294</v>
      </c>
      <c r="B71" s="125" t="s">
        <v>225</v>
      </c>
      <c r="C71" s="125" t="s">
        <v>56</v>
      </c>
      <c r="D71" s="125">
        <v>1</v>
      </c>
      <c r="E71" s="125">
        <v>3420.0070000000001</v>
      </c>
      <c r="F71" s="125">
        <v>3845</v>
      </c>
      <c r="G71" s="125">
        <v>200.00299999999999</v>
      </c>
      <c r="H71" s="125">
        <v>6344.81</v>
      </c>
      <c r="J71" s="125">
        <v>14490</v>
      </c>
      <c r="K71" s="126"/>
      <c r="L71" s="125" t="s">
        <v>753</v>
      </c>
      <c r="M71" s="126">
        <v>45271</v>
      </c>
      <c r="W71" s="125">
        <v>2.5840000000000001</v>
      </c>
      <c r="AD71" s="125" t="s">
        <v>277</v>
      </c>
      <c r="AF71" s="125" t="s">
        <v>710</v>
      </c>
      <c r="AG71" s="125" t="s">
        <v>710</v>
      </c>
      <c r="AL71" s="125" t="s">
        <v>708</v>
      </c>
      <c r="AM71" s="126">
        <v>45272</v>
      </c>
      <c r="AQ71" s="125">
        <v>36.496000000000002</v>
      </c>
      <c r="BA71" s="125" t="s">
        <v>641</v>
      </c>
      <c r="BB71" s="125">
        <v>5332492</v>
      </c>
    </row>
    <row r="72" spans="1:54" x14ac:dyDescent="0.3">
      <c r="A72" s="125" t="s">
        <v>294</v>
      </c>
      <c r="B72" s="125" t="s">
        <v>136</v>
      </c>
      <c r="C72" s="125" t="s">
        <v>56</v>
      </c>
      <c r="D72" s="125">
        <v>1</v>
      </c>
      <c r="E72" s="125">
        <v>2920.0070000000001</v>
      </c>
      <c r="F72" s="125">
        <v>4560</v>
      </c>
      <c r="G72" s="125">
        <v>200.04</v>
      </c>
      <c r="H72" s="125">
        <v>6459.56</v>
      </c>
      <c r="J72" s="125">
        <v>15490</v>
      </c>
      <c r="K72" s="126"/>
      <c r="L72" s="125" t="s">
        <v>753</v>
      </c>
      <c r="M72" s="126">
        <v>45278</v>
      </c>
      <c r="W72" s="125">
        <v>2.637</v>
      </c>
      <c r="AD72" s="125" t="s">
        <v>277</v>
      </c>
      <c r="AF72" s="125" t="s">
        <v>710</v>
      </c>
      <c r="AG72" s="125" t="s">
        <v>707</v>
      </c>
      <c r="AL72" s="125" t="s">
        <v>708</v>
      </c>
      <c r="AM72" s="126">
        <v>45279</v>
      </c>
      <c r="AQ72" s="125">
        <v>31.279</v>
      </c>
      <c r="BA72" s="125" t="s">
        <v>672</v>
      </c>
      <c r="BB72" s="125">
        <v>5332482</v>
      </c>
    </row>
    <row r="73" spans="1:54" x14ac:dyDescent="0.3">
      <c r="A73" s="125" t="s">
        <v>294</v>
      </c>
      <c r="B73" s="125" t="s">
        <v>138</v>
      </c>
      <c r="C73" s="125" t="s">
        <v>56</v>
      </c>
      <c r="D73" s="125">
        <v>4</v>
      </c>
      <c r="E73" s="125">
        <v>3130.0070000000001</v>
      </c>
      <c r="F73" s="125">
        <v>4230</v>
      </c>
      <c r="G73" s="125">
        <v>200.03700000000001</v>
      </c>
      <c r="H73" s="125">
        <v>5199.1400000000003</v>
      </c>
      <c r="J73" s="125">
        <v>9930</v>
      </c>
      <c r="K73" s="126"/>
      <c r="L73" s="125" t="s">
        <v>753</v>
      </c>
      <c r="M73" s="126">
        <v>45244</v>
      </c>
      <c r="W73" s="125">
        <v>2.113</v>
      </c>
      <c r="AD73" s="125" t="s">
        <v>277</v>
      </c>
      <c r="AF73" s="125" t="s">
        <v>706</v>
      </c>
      <c r="AG73" s="125" t="s">
        <v>713</v>
      </c>
      <c r="AL73" s="125" t="s">
        <v>708</v>
      </c>
      <c r="AM73" s="126">
        <v>45245</v>
      </c>
      <c r="AQ73" s="125">
        <v>33.323</v>
      </c>
      <c r="BA73" s="125" t="s">
        <v>421</v>
      </c>
      <c r="BB73" s="125">
        <v>5284545</v>
      </c>
    </row>
    <row r="74" spans="1:54" x14ac:dyDescent="0.3">
      <c r="A74" s="125" t="s">
        <v>294</v>
      </c>
      <c r="B74" s="125" t="s">
        <v>272</v>
      </c>
      <c r="C74" s="125" t="s">
        <v>56</v>
      </c>
      <c r="D74" s="125">
        <v>1</v>
      </c>
      <c r="E74" s="125">
        <v>3400.0070000000001</v>
      </c>
      <c r="F74" s="125">
        <v>2460</v>
      </c>
      <c r="G74" s="125">
        <v>200.00299999999999</v>
      </c>
      <c r="H74" s="125">
        <v>3964.14</v>
      </c>
      <c r="J74" s="125">
        <v>6290</v>
      </c>
      <c r="K74" s="126">
        <v>45159</v>
      </c>
      <c r="L74" s="125" t="s">
        <v>753</v>
      </c>
      <c r="M74" s="126">
        <v>45215</v>
      </c>
      <c r="W74" s="125">
        <v>1.61</v>
      </c>
      <c r="AD74" s="125" t="s">
        <v>277</v>
      </c>
      <c r="AF74" s="125" t="s">
        <v>711</v>
      </c>
      <c r="AG74" s="125" t="s">
        <v>710</v>
      </c>
      <c r="AL74" s="125" t="s">
        <v>708</v>
      </c>
      <c r="AM74" s="126">
        <v>45216</v>
      </c>
      <c r="AQ74" s="125">
        <v>33.018999999999998</v>
      </c>
      <c r="BA74" s="125" t="s">
        <v>759</v>
      </c>
      <c r="BB74" s="125">
        <v>5287936</v>
      </c>
    </row>
    <row r="75" spans="1:54" x14ac:dyDescent="0.3">
      <c r="A75" s="125" t="s">
        <v>294</v>
      </c>
      <c r="B75" s="125" t="s">
        <v>208</v>
      </c>
      <c r="C75" s="125" t="s">
        <v>56</v>
      </c>
      <c r="D75" s="125">
        <v>3</v>
      </c>
      <c r="E75" s="125">
        <v>3130.0010000000002</v>
      </c>
      <c r="F75" s="125">
        <v>3804.9989999999998</v>
      </c>
      <c r="G75" s="125">
        <v>200.023</v>
      </c>
      <c r="H75" s="125">
        <v>4684.5</v>
      </c>
      <c r="J75" s="125">
        <v>13340</v>
      </c>
      <c r="K75" s="126"/>
      <c r="L75" s="125" t="s">
        <v>753</v>
      </c>
      <c r="M75" s="126">
        <v>45264</v>
      </c>
      <c r="W75" s="125">
        <v>1.9039999999999999</v>
      </c>
      <c r="AD75" s="125" t="s">
        <v>277</v>
      </c>
      <c r="AF75" s="125" t="s">
        <v>710</v>
      </c>
      <c r="AG75" s="125" t="s">
        <v>712</v>
      </c>
      <c r="AL75" s="125" t="s">
        <v>708</v>
      </c>
      <c r="AM75" s="126">
        <v>45265</v>
      </c>
      <c r="AP75" s="125">
        <v>1</v>
      </c>
      <c r="AQ75" s="125">
        <v>21.984000000000002</v>
      </c>
      <c r="BA75" s="125" t="s">
        <v>440</v>
      </c>
      <c r="BB75" s="125">
        <v>5284613</v>
      </c>
    </row>
    <row r="76" spans="1:54" x14ac:dyDescent="0.3">
      <c r="A76" s="125" t="s">
        <v>294</v>
      </c>
      <c r="B76" s="125" t="s">
        <v>380</v>
      </c>
      <c r="C76" s="125" t="s">
        <v>56</v>
      </c>
      <c r="D76" s="125">
        <v>1</v>
      </c>
      <c r="E76" s="125">
        <v>1110</v>
      </c>
      <c r="F76" s="125">
        <v>6056.0029999999997</v>
      </c>
      <c r="G76" s="125">
        <v>140</v>
      </c>
      <c r="H76" s="125">
        <v>2312.12</v>
      </c>
      <c r="J76" s="125">
        <v>15640</v>
      </c>
      <c r="K76" s="126"/>
      <c r="L76" s="125" t="s">
        <v>278</v>
      </c>
      <c r="M76" s="126">
        <v>45278</v>
      </c>
      <c r="W76" s="125">
        <v>0.93500000000000005</v>
      </c>
      <c r="AD76" s="125" t="s">
        <v>359</v>
      </c>
      <c r="AF76" s="125" t="s">
        <v>710</v>
      </c>
      <c r="AG76" s="125" t="s">
        <v>707</v>
      </c>
      <c r="AL76" s="125" t="s">
        <v>708</v>
      </c>
      <c r="AM76" s="126">
        <v>45279</v>
      </c>
      <c r="AQ76" s="125">
        <v>19.911000000000001</v>
      </c>
      <c r="BA76" s="125" t="s">
        <v>664</v>
      </c>
      <c r="BB76" s="125">
        <v>5327865</v>
      </c>
    </row>
    <row r="77" spans="1:54" x14ac:dyDescent="0.3">
      <c r="A77" s="125" t="s">
        <v>294</v>
      </c>
      <c r="B77" s="125" t="s">
        <v>300</v>
      </c>
      <c r="C77" s="125" t="s">
        <v>57</v>
      </c>
      <c r="D77" s="125">
        <v>2</v>
      </c>
      <c r="E77" s="125">
        <v>3280.0070000000001</v>
      </c>
      <c r="F77" s="125">
        <v>6050.0559999999996</v>
      </c>
      <c r="G77" s="125">
        <v>595</v>
      </c>
      <c r="H77" s="125">
        <v>8124.31</v>
      </c>
      <c r="J77" s="125">
        <v>9830</v>
      </c>
      <c r="K77" s="126"/>
      <c r="L77" s="125" t="s">
        <v>348</v>
      </c>
      <c r="M77" s="126">
        <v>45243</v>
      </c>
      <c r="W77" s="125">
        <v>3.2040000000000002</v>
      </c>
      <c r="AD77" s="125" t="s">
        <v>584</v>
      </c>
      <c r="AF77" s="125" t="s">
        <v>706</v>
      </c>
      <c r="AG77" s="125" t="s">
        <v>713</v>
      </c>
      <c r="AL77" s="125" t="s">
        <v>708</v>
      </c>
      <c r="AM77" s="126">
        <v>45244</v>
      </c>
      <c r="AP77" s="125">
        <v>2</v>
      </c>
      <c r="AQ77" s="125">
        <v>55.243000000000002</v>
      </c>
      <c r="BA77" s="125" t="s">
        <v>604</v>
      </c>
      <c r="BB77" s="125">
        <v>5331487</v>
      </c>
    </row>
    <row r="78" spans="1:54" x14ac:dyDescent="0.3">
      <c r="A78" s="125" t="s">
        <v>294</v>
      </c>
      <c r="B78" s="125" t="s">
        <v>352</v>
      </c>
      <c r="C78" s="125" t="s">
        <v>57</v>
      </c>
      <c r="D78" s="125">
        <v>2</v>
      </c>
      <c r="E78" s="125">
        <v>3280.0210000000002</v>
      </c>
      <c r="F78" s="125">
        <v>7260.0039999999999</v>
      </c>
      <c r="G78" s="125">
        <v>595.01099999999997</v>
      </c>
      <c r="H78" s="125">
        <v>11182.31</v>
      </c>
      <c r="J78" s="125">
        <v>9700</v>
      </c>
      <c r="K78" s="126"/>
      <c r="L78" s="125" t="s">
        <v>348</v>
      </c>
      <c r="M78" s="126">
        <v>45243</v>
      </c>
      <c r="W78" s="125">
        <v>4.4109999999999996</v>
      </c>
      <c r="AD78" s="125" t="s">
        <v>584</v>
      </c>
      <c r="AF78" s="125" t="s">
        <v>706</v>
      </c>
      <c r="AG78" s="125" t="s">
        <v>713</v>
      </c>
      <c r="AL78" s="125" t="s">
        <v>708</v>
      </c>
      <c r="AM78" s="126">
        <v>45244</v>
      </c>
      <c r="AP78" s="125">
        <v>2</v>
      </c>
      <c r="AQ78" s="125">
        <v>31.504999999999999</v>
      </c>
      <c r="BA78" s="125" t="s">
        <v>568</v>
      </c>
      <c r="BB78" s="125">
        <v>5316466</v>
      </c>
    </row>
    <row r="79" spans="1:54" x14ac:dyDescent="0.3">
      <c r="A79" s="125" t="s">
        <v>294</v>
      </c>
      <c r="B79" s="125" t="s">
        <v>154</v>
      </c>
      <c r="C79" s="125" t="s">
        <v>56</v>
      </c>
      <c r="D79" s="125">
        <v>1</v>
      </c>
      <c r="E79" s="125">
        <v>360</v>
      </c>
      <c r="F79" s="125">
        <v>2200</v>
      </c>
      <c r="G79" s="125">
        <v>200</v>
      </c>
      <c r="H79" s="125">
        <v>385.14</v>
      </c>
      <c r="J79" s="125">
        <v>16100</v>
      </c>
      <c r="K79" s="126"/>
      <c r="L79" s="125" t="s">
        <v>753</v>
      </c>
      <c r="M79" s="126">
        <v>45282</v>
      </c>
      <c r="W79" s="125">
        <v>0.156</v>
      </c>
      <c r="AD79" s="125" t="s">
        <v>277</v>
      </c>
      <c r="AF79" s="125" t="s">
        <v>710</v>
      </c>
      <c r="AG79" s="125" t="s">
        <v>709</v>
      </c>
      <c r="AL79" s="125" t="s">
        <v>708</v>
      </c>
      <c r="AM79" s="126">
        <v>45287</v>
      </c>
      <c r="AP79" s="125">
        <v>1</v>
      </c>
      <c r="AQ79" s="125">
        <v>0.48199999999999998</v>
      </c>
      <c r="BA79" s="125" t="s">
        <v>500</v>
      </c>
      <c r="BB79" s="125">
        <v>5310371</v>
      </c>
    </row>
    <row r="80" spans="1:54" x14ac:dyDescent="0.3">
      <c r="A80" s="125" t="s">
        <v>294</v>
      </c>
      <c r="B80" s="125" t="s">
        <v>155</v>
      </c>
      <c r="C80" s="125" t="s">
        <v>56</v>
      </c>
      <c r="D80" s="125">
        <v>4</v>
      </c>
      <c r="E80" s="125">
        <v>2920.0059999999999</v>
      </c>
      <c r="F80" s="125">
        <v>1781</v>
      </c>
      <c r="G80" s="125">
        <v>200.00399999999999</v>
      </c>
      <c r="H80" s="125">
        <v>2529.29</v>
      </c>
      <c r="J80" s="125">
        <v>10040</v>
      </c>
      <c r="K80" s="126"/>
      <c r="L80" s="125" t="s">
        <v>278</v>
      </c>
      <c r="M80" s="126">
        <v>45244</v>
      </c>
      <c r="W80" s="125">
        <v>1.0329999999999999</v>
      </c>
      <c r="AD80" s="125" t="s">
        <v>277</v>
      </c>
      <c r="AF80" s="125" t="s">
        <v>706</v>
      </c>
      <c r="AG80" s="125" t="s">
        <v>713</v>
      </c>
      <c r="AL80" s="125" t="s">
        <v>708</v>
      </c>
      <c r="AM80" s="126">
        <v>45245</v>
      </c>
      <c r="AQ80" s="125">
        <v>5.9859999999999998</v>
      </c>
      <c r="BA80" s="125" t="s">
        <v>435</v>
      </c>
      <c r="BB80" s="125">
        <v>5284600</v>
      </c>
    </row>
    <row r="81" spans="1:54" x14ac:dyDescent="0.3">
      <c r="A81" s="125" t="s">
        <v>294</v>
      </c>
      <c r="B81" s="125" t="s">
        <v>205</v>
      </c>
      <c r="C81" s="125" t="s">
        <v>56</v>
      </c>
      <c r="D81" s="125">
        <v>4</v>
      </c>
      <c r="E81" s="125">
        <v>3130.0070000000001</v>
      </c>
      <c r="F81" s="125">
        <v>2081.0010000000002</v>
      </c>
      <c r="G81" s="125">
        <v>200.00399999999999</v>
      </c>
      <c r="H81" s="125">
        <v>3124.13</v>
      </c>
      <c r="J81" s="125">
        <v>9910</v>
      </c>
      <c r="K81" s="126"/>
      <c r="L81" s="125" t="s">
        <v>278</v>
      </c>
      <c r="M81" s="126">
        <v>45244</v>
      </c>
      <c r="W81" s="125">
        <v>1.272</v>
      </c>
      <c r="AD81" s="125" t="s">
        <v>277</v>
      </c>
      <c r="AF81" s="125" t="s">
        <v>706</v>
      </c>
      <c r="AG81" s="125" t="s">
        <v>713</v>
      </c>
      <c r="AL81" s="125" t="s">
        <v>708</v>
      </c>
      <c r="AM81" s="126">
        <v>45245</v>
      </c>
      <c r="AQ81" s="125">
        <v>20.077999999999999</v>
      </c>
      <c r="BA81" s="125" t="s">
        <v>390</v>
      </c>
      <c r="BB81" s="125">
        <v>5284402</v>
      </c>
    </row>
    <row r="82" spans="1:54" x14ac:dyDescent="0.3">
      <c r="A82" s="125" t="s">
        <v>294</v>
      </c>
      <c r="B82" s="125" t="s">
        <v>373</v>
      </c>
      <c r="C82" s="125" t="s">
        <v>56</v>
      </c>
      <c r="D82" s="125">
        <v>1</v>
      </c>
      <c r="E82" s="125">
        <v>1110</v>
      </c>
      <c r="F82" s="125">
        <v>5135</v>
      </c>
      <c r="G82" s="125">
        <v>140</v>
      </c>
      <c r="H82" s="125">
        <v>1956.71</v>
      </c>
      <c r="J82" s="125">
        <v>15590</v>
      </c>
      <c r="K82" s="126"/>
      <c r="L82" s="125" t="s">
        <v>753</v>
      </c>
      <c r="M82" s="126">
        <v>45278</v>
      </c>
      <c r="W82" s="125">
        <v>0.79100000000000004</v>
      </c>
      <c r="AD82" s="125" t="s">
        <v>359</v>
      </c>
      <c r="AF82" s="125" t="s">
        <v>710</v>
      </c>
      <c r="AG82" s="125" t="s">
        <v>707</v>
      </c>
      <c r="AL82" s="125" t="s">
        <v>708</v>
      </c>
      <c r="AM82" s="126">
        <v>45279</v>
      </c>
      <c r="AQ82" s="125">
        <v>17.167999999999999</v>
      </c>
      <c r="BA82" s="125" t="s">
        <v>663</v>
      </c>
      <c r="BB82" s="125">
        <v>5327863</v>
      </c>
    </row>
    <row r="83" spans="1:54" x14ac:dyDescent="0.3">
      <c r="A83" s="125" t="s">
        <v>294</v>
      </c>
      <c r="B83" s="125" t="s">
        <v>198</v>
      </c>
      <c r="C83" s="125" t="s">
        <v>56</v>
      </c>
      <c r="D83" s="125">
        <v>1</v>
      </c>
      <c r="E83" s="125">
        <v>3130.0010000000002</v>
      </c>
      <c r="F83" s="125">
        <v>5481.0010000000002</v>
      </c>
      <c r="G83" s="125">
        <v>200.02500000000001</v>
      </c>
      <c r="H83" s="125">
        <v>7200.2</v>
      </c>
      <c r="J83" s="125">
        <v>10020</v>
      </c>
      <c r="K83" s="126"/>
      <c r="L83" s="125" t="s">
        <v>278</v>
      </c>
      <c r="M83" s="126">
        <v>45244</v>
      </c>
      <c r="W83" s="125">
        <v>2.931</v>
      </c>
      <c r="AD83" s="125" t="s">
        <v>277</v>
      </c>
      <c r="AF83" s="125" t="s">
        <v>706</v>
      </c>
      <c r="AG83" s="125" t="s">
        <v>713</v>
      </c>
      <c r="AL83" s="125" t="s">
        <v>708</v>
      </c>
      <c r="AM83" s="126">
        <v>45245</v>
      </c>
      <c r="AQ83" s="125">
        <v>29.562000000000001</v>
      </c>
      <c r="BA83" s="125" t="s">
        <v>406</v>
      </c>
      <c r="BB83" s="125">
        <v>5284479</v>
      </c>
    </row>
    <row r="84" spans="1:54" x14ac:dyDescent="0.3">
      <c r="A84" s="125" t="s">
        <v>294</v>
      </c>
      <c r="B84" s="125" t="s">
        <v>547</v>
      </c>
      <c r="C84" s="125" t="s">
        <v>57</v>
      </c>
      <c r="D84" s="125">
        <v>1</v>
      </c>
      <c r="E84" s="125">
        <v>3270.0079999999998</v>
      </c>
      <c r="F84" s="125">
        <v>3094.9690000000001</v>
      </c>
      <c r="G84" s="125">
        <v>595</v>
      </c>
      <c r="H84" s="125">
        <v>4285.3599999999997</v>
      </c>
      <c r="J84" s="125">
        <v>8610</v>
      </c>
      <c r="K84" s="126"/>
      <c r="L84" s="125" t="s">
        <v>349</v>
      </c>
      <c r="M84" s="126">
        <v>45233</v>
      </c>
      <c r="W84" s="125">
        <v>1.69</v>
      </c>
      <c r="AD84" s="125" t="s">
        <v>584</v>
      </c>
      <c r="AF84" s="125" t="s">
        <v>706</v>
      </c>
      <c r="AG84" s="125" t="s">
        <v>755</v>
      </c>
      <c r="AL84" s="125" t="s">
        <v>708</v>
      </c>
      <c r="AM84" s="126">
        <v>45236</v>
      </c>
      <c r="AQ84" s="125">
        <v>26.812000000000001</v>
      </c>
      <c r="BA84" s="125" t="s">
        <v>546</v>
      </c>
      <c r="BB84" s="125">
        <v>5312293</v>
      </c>
    </row>
    <row r="85" spans="1:54" x14ac:dyDescent="0.3">
      <c r="A85" s="125" t="s">
        <v>294</v>
      </c>
      <c r="B85" s="125" t="s">
        <v>340</v>
      </c>
      <c r="C85" s="125" t="s">
        <v>57</v>
      </c>
      <c r="D85" s="125">
        <v>2</v>
      </c>
      <c r="E85" s="125">
        <v>3130.011</v>
      </c>
      <c r="F85" s="125">
        <v>3094.9670000000001</v>
      </c>
      <c r="G85" s="125">
        <v>594.99900000000002</v>
      </c>
      <c r="H85" s="125">
        <v>4047.91</v>
      </c>
      <c r="J85" s="125">
        <v>15340</v>
      </c>
      <c r="K85" s="126"/>
      <c r="L85" s="125" t="s">
        <v>349</v>
      </c>
      <c r="M85" s="126">
        <v>45275</v>
      </c>
      <c r="W85" s="125">
        <v>1.5980000000000001</v>
      </c>
      <c r="AD85" s="125" t="s">
        <v>584</v>
      </c>
      <c r="AF85" s="125" t="s">
        <v>710</v>
      </c>
      <c r="AG85" s="125" t="s">
        <v>707</v>
      </c>
      <c r="AL85" s="125" t="s">
        <v>708</v>
      </c>
      <c r="AM85" s="126">
        <v>45278</v>
      </c>
      <c r="AQ85" s="125">
        <v>26.614000000000001</v>
      </c>
      <c r="BA85" s="125" t="s">
        <v>651</v>
      </c>
      <c r="BB85" s="125">
        <v>5331501</v>
      </c>
    </row>
    <row r="86" spans="1:54" x14ac:dyDescent="0.3">
      <c r="A86" s="125" t="s">
        <v>294</v>
      </c>
      <c r="B86" s="125" t="s">
        <v>187</v>
      </c>
      <c r="C86" s="125" t="s">
        <v>56</v>
      </c>
      <c r="D86" s="125">
        <v>4</v>
      </c>
      <c r="E86" s="125">
        <v>2920.0070000000001</v>
      </c>
      <c r="F86" s="125">
        <v>4145</v>
      </c>
      <c r="G86" s="125">
        <v>200.00299999999999</v>
      </c>
      <c r="H86" s="125">
        <v>5884.73</v>
      </c>
      <c r="J86" s="125">
        <v>9960</v>
      </c>
      <c r="K86" s="126"/>
      <c r="L86" s="125" t="s">
        <v>753</v>
      </c>
      <c r="M86" s="126">
        <v>45244</v>
      </c>
      <c r="W86" s="125">
        <v>2.4060000000000001</v>
      </c>
      <c r="AD86" s="125" t="s">
        <v>277</v>
      </c>
      <c r="AF86" s="125" t="s">
        <v>706</v>
      </c>
      <c r="AG86" s="125" t="s">
        <v>713</v>
      </c>
      <c r="AL86" s="125" t="s">
        <v>708</v>
      </c>
      <c r="AM86" s="126">
        <v>45245</v>
      </c>
      <c r="AQ86" s="125">
        <v>16.251000000000001</v>
      </c>
      <c r="BA86" s="125" t="s">
        <v>485</v>
      </c>
      <c r="BB86" s="125">
        <v>5284788</v>
      </c>
    </row>
    <row r="87" spans="1:54" x14ac:dyDescent="0.3">
      <c r="A87" s="125" t="s">
        <v>294</v>
      </c>
      <c r="B87" s="125" t="s">
        <v>254</v>
      </c>
      <c r="C87" s="125" t="s">
        <v>56</v>
      </c>
      <c r="D87" s="125">
        <v>4</v>
      </c>
      <c r="E87" s="125">
        <v>3130.0070000000001</v>
      </c>
      <c r="F87" s="125">
        <v>6180</v>
      </c>
      <c r="G87" s="125">
        <v>200.03700000000001</v>
      </c>
      <c r="H87" s="125">
        <v>8059.31</v>
      </c>
      <c r="J87" s="125">
        <v>9940</v>
      </c>
      <c r="K87" s="126"/>
      <c r="L87" s="125" t="s">
        <v>753</v>
      </c>
      <c r="M87" s="126">
        <v>45244</v>
      </c>
      <c r="W87" s="125">
        <v>3.2749999999999999</v>
      </c>
      <c r="AD87" s="125" t="s">
        <v>277</v>
      </c>
      <c r="AF87" s="125" t="s">
        <v>706</v>
      </c>
      <c r="AG87" s="125" t="s">
        <v>713</v>
      </c>
      <c r="AL87" s="125" t="s">
        <v>708</v>
      </c>
      <c r="AM87" s="126">
        <v>45245</v>
      </c>
      <c r="AQ87" s="125">
        <v>46.671999999999997</v>
      </c>
      <c r="BA87" s="125" t="s">
        <v>403</v>
      </c>
      <c r="BB87" s="125">
        <v>5284452</v>
      </c>
    </row>
    <row r="88" spans="1:54" x14ac:dyDescent="0.3">
      <c r="A88" s="125" t="s">
        <v>294</v>
      </c>
      <c r="B88" s="125" t="s">
        <v>325</v>
      </c>
      <c r="C88" s="125" t="s">
        <v>57</v>
      </c>
      <c r="D88" s="125">
        <v>2</v>
      </c>
      <c r="E88" s="125">
        <v>3280.0070000000001</v>
      </c>
      <c r="F88" s="125">
        <v>6410.0150000000003</v>
      </c>
      <c r="G88" s="125">
        <v>595.00900000000001</v>
      </c>
      <c r="H88" s="125">
        <v>7864.83</v>
      </c>
      <c r="J88" s="125">
        <v>9790</v>
      </c>
      <c r="K88" s="126"/>
      <c r="L88" s="125" t="s">
        <v>349</v>
      </c>
      <c r="M88" s="126">
        <v>45243</v>
      </c>
      <c r="W88" s="125">
        <v>3.0609999999999999</v>
      </c>
      <c r="AD88" s="125" t="s">
        <v>584</v>
      </c>
      <c r="AF88" s="125" t="s">
        <v>706</v>
      </c>
      <c r="AG88" s="125" t="s">
        <v>713</v>
      </c>
      <c r="AL88" s="125" t="s">
        <v>708</v>
      </c>
      <c r="AM88" s="126">
        <v>45244</v>
      </c>
      <c r="AP88" s="125">
        <v>2</v>
      </c>
      <c r="AQ88" s="125">
        <v>33.289000000000001</v>
      </c>
      <c r="BA88" s="125" t="s">
        <v>554</v>
      </c>
      <c r="BB88" s="125">
        <v>5316432</v>
      </c>
    </row>
    <row r="89" spans="1:54" x14ac:dyDescent="0.3">
      <c r="A89" s="125" t="s">
        <v>294</v>
      </c>
      <c r="B89" s="125" t="s">
        <v>211</v>
      </c>
      <c r="C89" s="125" t="s">
        <v>56</v>
      </c>
      <c r="D89" s="125">
        <v>4</v>
      </c>
      <c r="E89" s="125">
        <v>3130</v>
      </c>
      <c r="F89" s="125">
        <v>1560</v>
      </c>
      <c r="G89" s="125">
        <v>200</v>
      </c>
      <c r="H89" s="125">
        <v>2369.6799999999998</v>
      </c>
      <c r="J89" s="125">
        <v>13460</v>
      </c>
      <c r="K89" s="126"/>
      <c r="L89" s="125" t="s">
        <v>753</v>
      </c>
      <c r="M89" s="126">
        <v>45264</v>
      </c>
      <c r="W89" s="125">
        <v>0.96899999999999997</v>
      </c>
      <c r="AD89" s="125" t="s">
        <v>277</v>
      </c>
      <c r="AF89" s="125" t="s">
        <v>710</v>
      </c>
      <c r="AG89" s="125" t="s">
        <v>712</v>
      </c>
      <c r="AL89" s="125" t="s">
        <v>708</v>
      </c>
      <c r="AM89" s="126">
        <v>45265</v>
      </c>
      <c r="AQ89" s="125">
        <v>5.7160000000000002</v>
      </c>
      <c r="BA89" s="125" t="s">
        <v>392</v>
      </c>
      <c r="BB89" s="125">
        <v>5284405</v>
      </c>
    </row>
    <row r="90" spans="1:54" x14ac:dyDescent="0.3">
      <c r="A90" s="125" t="s">
        <v>294</v>
      </c>
      <c r="B90" s="125" t="s">
        <v>219</v>
      </c>
      <c r="C90" s="125" t="s">
        <v>56</v>
      </c>
      <c r="D90" s="125">
        <v>4</v>
      </c>
      <c r="E90" s="125">
        <v>3130.0230000000001</v>
      </c>
      <c r="F90" s="125">
        <v>5660.9970000000003</v>
      </c>
      <c r="G90" s="125">
        <v>400.00599999999997</v>
      </c>
      <c r="H90" s="125">
        <v>8373.59</v>
      </c>
      <c r="J90" s="125">
        <v>13400</v>
      </c>
      <c r="K90" s="126"/>
      <c r="L90" s="125" t="s">
        <v>278</v>
      </c>
      <c r="M90" s="126">
        <v>45264</v>
      </c>
      <c r="W90" s="125">
        <v>3.41</v>
      </c>
      <c r="AD90" s="125" t="s">
        <v>277</v>
      </c>
      <c r="AF90" s="125" t="s">
        <v>710</v>
      </c>
      <c r="AG90" s="125" t="s">
        <v>712</v>
      </c>
      <c r="AL90" s="125" t="s">
        <v>708</v>
      </c>
      <c r="AM90" s="126">
        <v>45265</v>
      </c>
      <c r="AP90" s="125">
        <v>1</v>
      </c>
      <c r="AQ90" s="125">
        <v>50.408999999999999</v>
      </c>
      <c r="BA90" s="125" t="s">
        <v>415</v>
      </c>
      <c r="BB90" s="125">
        <v>5284524</v>
      </c>
    </row>
    <row r="91" spans="1:54" x14ac:dyDescent="0.3">
      <c r="A91" s="125" t="s">
        <v>294</v>
      </c>
      <c r="B91" s="125" t="s">
        <v>229</v>
      </c>
      <c r="C91" s="125" t="s">
        <v>56</v>
      </c>
      <c r="D91" s="125">
        <v>1</v>
      </c>
      <c r="E91" s="125">
        <v>3420.0070000000001</v>
      </c>
      <c r="F91" s="125">
        <v>4531</v>
      </c>
      <c r="G91" s="125">
        <v>200.03800000000001</v>
      </c>
      <c r="H91" s="125">
        <v>6032.18</v>
      </c>
      <c r="J91" s="125">
        <v>6210</v>
      </c>
      <c r="K91" s="126">
        <v>45159</v>
      </c>
      <c r="L91" s="125" t="s">
        <v>278</v>
      </c>
      <c r="M91" s="126">
        <v>45215</v>
      </c>
      <c r="W91" s="125">
        <v>2.464</v>
      </c>
      <c r="AD91" s="125" t="s">
        <v>277</v>
      </c>
      <c r="AF91" s="125" t="s">
        <v>711</v>
      </c>
      <c r="AG91" s="125" t="s">
        <v>710</v>
      </c>
      <c r="AL91" s="125" t="s">
        <v>708</v>
      </c>
      <c r="AM91" s="126">
        <v>45216</v>
      </c>
      <c r="AQ91" s="125">
        <v>27.138000000000002</v>
      </c>
      <c r="BA91" s="125" t="s">
        <v>762</v>
      </c>
      <c r="BB91" s="125">
        <v>5287941</v>
      </c>
    </row>
    <row r="92" spans="1:54" x14ac:dyDescent="0.3">
      <c r="A92" s="125" t="s">
        <v>294</v>
      </c>
      <c r="B92" s="125" t="s">
        <v>353</v>
      </c>
      <c r="C92" s="125" t="s">
        <v>57</v>
      </c>
      <c r="D92" s="125">
        <v>2</v>
      </c>
      <c r="E92" s="125">
        <v>3280.0039999999999</v>
      </c>
      <c r="F92" s="125">
        <v>4409.973</v>
      </c>
      <c r="G92" s="125">
        <v>595.01099999999997</v>
      </c>
      <c r="H92" s="125">
        <v>5387.12</v>
      </c>
      <c r="J92" s="125">
        <v>11970</v>
      </c>
      <c r="K92" s="126"/>
      <c r="L92" s="125" t="s">
        <v>349</v>
      </c>
      <c r="M92" s="126">
        <v>45254</v>
      </c>
      <c r="W92" s="125">
        <v>2.0990000000000002</v>
      </c>
      <c r="AD92" s="125" t="s">
        <v>584</v>
      </c>
      <c r="AF92" s="125" t="s">
        <v>712</v>
      </c>
      <c r="AG92" s="125" t="s">
        <v>706</v>
      </c>
      <c r="AL92" s="125" t="s">
        <v>708</v>
      </c>
      <c r="AM92" s="126">
        <v>45257</v>
      </c>
      <c r="AP92" s="125">
        <v>1</v>
      </c>
      <c r="AQ92" s="125">
        <v>23.466000000000001</v>
      </c>
      <c r="BA92" s="125" t="s">
        <v>571</v>
      </c>
      <c r="BB92" s="125">
        <v>5316471</v>
      </c>
    </row>
    <row r="93" spans="1:54" x14ac:dyDescent="0.3">
      <c r="A93" s="125" t="s">
        <v>294</v>
      </c>
      <c r="B93" s="125" t="s">
        <v>319</v>
      </c>
      <c r="C93" s="125" t="s">
        <v>57</v>
      </c>
      <c r="D93" s="125">
        <v>4</v>
      </c>
      <c r="E93" s="125">
        <v>3280.0210000000002</v>
      </c>
      <c r="F93" s="125">
        <v>5340.027</v>
      </c>
      <c r="G93" s="125">
        <v>595.01199999999994</v>
      </c>
      <c r="H93" s="125">
        <v>6757.62</v>
      </c>
      <c r="J93" s="125">
        <v>13160</v>
      </c>
      <c r="K93" s="126"/>
      <c r="L93" s="125" t="s">
        <v>349</v>
      </c>
      <c r="M93" s="126">
        <v>45261</v>
      </c>
      <c r="W93" s="125">
        <v>2.6760000000000002</v>
      </c>
      <c r="AD93" s="125" t="s">
        <v>584</v>
      </c>
      <c r="AF93" s="125" t="s">
        <v>710</v>
      </c>
      <c r="AG93" s="125" t="s">
        <v>712</v>
      </c>
      <c r="AL93" s="125" t="s">
        <v>708</v>
      </c>
      <c r="AM93" s="126">
        <v>45264</v>
      </c>
      <c r="AP93" s="125">
        <v>1</v>
      </c>
      <c r="AQ93" s="125">
        <v>17.542000000000002</v>
      </c>
      <c r="BA93" s="125" t="s">
        <v>602</v>
      </c>
      <c r="BB93" s="125">
        <v>5326773</v>
      </c>
    </row>
    <row r="94" spans="1:54" x14ac:dyDescent="0.3">
      <c r="A94" s="125" t="s">
        <v>294</v>
      </c>
      <c r="B94" s="125" t="s">
        <v>220</v>
      </c>
      <c r="C94" s="125" t="s">
        <v>56</v>
      </c>
      <c r="D94" s="125">
        <v>1</v>
      </c>
      <c r="E94" s="125">
        <v>3510</v>
      </c>
      <c r="F94" s="125">
        <v>2002</v>
      </c>
      <c r="G94" s="125">
        <v>200.001</v>
      </c>
      <c r="H94" s="125">
        <v>1990.74</v>
      </c>
      <c r="J94" s="125">
        <v>15550</v>
      </c>
      <c r="K94" s="126"/>
      <c r="L94" s="125" t="s">
        <v>278</v>
      </c>
      <c r="M94" s="126">
        <v>45278</v>
      </c>
      <c r="W94" s="125">
        <v>0.79700000000000004</v>
      </c>
      <c r="AD94" s="125" t="s">
        <v>277</v>
      </c>
      <c r="AF94" s="125" t="s">
        <v>710</v>
      </c>
      <c r="AG94" s="125" t="s">
        <v>707</v>
      </c>
      <c r="AL94" s="125" t="s">
        <v>708</v>
      </c>
      <c r="AM94" s="126">
        <v>45279</v>
      </c>
      <c r="AP94" s="125">
        <v>2</v>
      </c>
      <c r="AQ94" s="125">
        <v>14.52</v>
      </c>
      <c r="BA94" s="125" t="s">
        <v>673</v>
      </c>
      <c r="BB94" s="125">
        <v>5332485</v>
      </c>
    </row>
    <row r="95" spans="1:54" x14ac:dyDescent="0.3">
      <c r="A95" s="125" t="s">
        <v>294</v>
      </c>
      <c r="B95" s="125" t="s">
        <v>315</v>
      </c>
      <c r="C95" s="125" t="s">
        <v>57</v>
      </c>
      <c r="D95" s="125">
        <v>2</v>
      </c>
      <c r="E95" s="125">
        <v>3280.0070000000001</v>
      </c>
      <c r="F95" s="125">
        <v>5165.0429999999997</v>
      </c>
      <c r="G95" s="125">
        <v>545.00599999999997</v>
      </c>
      <c r="H95" s="125">
        <v>6065.23</v>
      </c>
      <c r="J95" s="125">
        <v>12080</v>
      </c>
      <c r="K95" s="126"/>
      <c r="L95" s="125" t="s">
        <v>349</v>
      </c>
      <c r="M95" s="126">
        <v>45254</v>
      </c>
      <c r="W95" s="125">
        <v>2.39</v>
      </c>
      <c r="AD95" s="125" t="s">
        <v>584</v>
      </c>
      <c r="AF95" s="125" t="s">
        <v>712</v>
      </c>
      <c r="AG95" s="125" t="s">
        <v>706</v>
      </c>
      <c r="AL95" s="125" t="s">
        <v>708</v>
      </c>
      <c r="AM95" s="126">
        <v>45257</v>
      </c>
      <c r="AP95" s="125">
        <v>1</v>
      </c>
      <c r="AQ95" s="125">
        <v>39.823999999999998</v>
      </c>
      <c r="BA95" s="125" t="s">
        <v>590</v>
      </c>
      <c r="BB95" s="125">
        <v>5326584</v>
      </c>
    </row>
    <row r="96" spans="1:54" x14ac:dyDescent="0.3">
      <c r="A96" s="125" t="s">
        <v>294</v>
      </c>
      <c r="B96" s="125" t="s">
        <v>308</v>
      </c>
      <c r="C96" s="125" t="s">
        <v>57</v>
      </c>
      <c r="D96" s="125">
        <v>2</v>
      </c>
      <c r="E96" s="125">
        <v>3280.0070000000001</v>
      </c>
      <c r="F96" s="125">
        <v>8414.9989999999998</v>
      </c>
      <c r="G96" s="125">
        <v>595.02599999999995</v>
      </c>
      <c r="H96" s="125">
        <v>10393.75</v>
      </c>
      <c r="J96" s="125">
        <v>10900</v>
      </c>
      <c r="K96" s="126"/>
      <c r="L96" s="125" t="s">
        <v>348</v>
      </c>
      <c r="M96" s="126">
        <v>45247</v>
      </c>
      <c r="W96" s="125">
        <v>4.1100000000000003</v>
      </c>
      <c r="AD96" s="125" t="s">
        <v>584</v>
      </c>
      <c r="AF96" s="125" t="s">
        <v>712</v>
      </c>
      <c r="AG96" s="125" t="s">
        <v>711</v>
      </c>
      <c r="AL96" s="125" t="s">
        <v>280</v>
      </c>
      <c r="AM96" s="126">
        <v>45250</v>
      </c>
      <c r="AP96" s="125">
        <v>1</v>
      </c>
      <c r="AQ96" s="125">
        <v>47.563000000000002</v>
      </c>
      <c r="BA96" s="125" t="s">
        <v>600</v>
      </c>
      <c r="BB96" s="125">
        <v>5326758</v>
      </c>
    </row>
    <row r="97" spans="1:54" x14ac:dyDescent="0.3">
      <c r="A97" s="125" t="s">
        <v>294</v>
      </c>
      <c r="B97" s="125" t="s">
        <v>215</v>
      </c>
      <c r="C97" s="125" t="s">
        <v>56</v>
      </c>
      <c r="D97" s="125">
        <v>3</v>
      </c>
      <c r="E97" s="125">
        <v>2930.0070000000001</v>
      </c>
      <c r="F97" s="125">
        <v>4531</v>
      </c>
      <c r="G97" s="125">
        <v>200.03800000000001</v>
      </c>
      <c r="H97" s="125">
        <v>4933.3599999999997</v>
      </c>
      <c r="J97" s="125">
        <v>12290</v>
      </c>
      <c r="K97" s="126"/>
      <c r="L97" s="125" t="s">
        <v>278</v>
      </c>
      <c r="M97" s="126">
        <v>45257</v>
      </c>
      <c r="W97" s="125">
        <v>2.012</v>
      </c>
      <c r="AD97" s="125" t="s">
        <v>277</v>
      </c>
      <c r="AF97" s="125" t="s">
        <v>712</v>
      </c>
      <c r="AG97" s="125" t="s">
        <v>706</v>
      </c>
      <c r="AL97" s="125" t="s">
        <v>708</v>
      </c>
      <c r="AM97" s="126">
        <v>45258</v>
      </c>
      <c r="AQ97" s="125">
        <v>26.478999999999999</v>
      </c>
      <c r="BA97" s="125" t="s">
        <v>472</v>
      </c>
      <c r="BB97" s="125">
        <v>5284733</v>
      </c>
    </row>
    <row r="98" spans="1:54" x14ac:dyDescent="0.3">
      <c r="A98" s="125" t="s">
        <v>294</v>
      </c>
      <c r="B98" s="125" t="s">
        <v>300</v>
      </c>
      <c r="C98" s="125" t="s">
        <v>57</v>
      </c>
      <c r="D98" s="125">
        <v>2</v>
      </c>
      <c r="E98" s="125">
        <v>3280.0070000000001</v>
      </c>
      <c r="F98" s="125">
        <v>6050.0559999999996</v>
      </c>
      <c r="G98" s="125">
        <v>595</v>
      </c>
      <c r="H98" s="125">
        <v>8124.31</v>
      </c>
      <c r="J98" s="125">
        <v>12090</v>
      </c>
      <c r="K98" s="126"/>
      <c r="L98" s="125" t="s">
        <v>348</v>
      </c>
      <c r="M98" s="126">
        <v>45254</v>
      </c>
      <c r="W98" s="125">
        <v>3.2040000000000002</v>
      </c>
      <c r="AD98" s="125" t="s">
        <v>584</v>
      </c>
      <c r="AF98" s="125" t="s">
        <v>712</v>
      </c>
      <c r="AG98" s="125" t="s">
        <v>706</v>
      </c>
      <c r="AL98" s="125" t="s">
        <v>708</v>
      </c>
      <c r="AM98" s="126">
        <v>45257</v>
      </c>
      <c r="AP98" s="125">
        <v>2</v>
      </c>
      <c r="AQ98" s="125">
        <v>55.243000000000002</v>
      </c>
      <c r="BA98" s="125" t="s">
        <v>612</v>
      </c>
      <c r="BB98" s="125">
        <v>5331480</v>
      </c>
    </row>
    <row r="99" spans="1:54" x14ac:dyDescent="0.3">
      <c r="A99" s="125" t="s">
        <v>294</v>
      </c>
      <c r="B99" s="125" t="s">
        <v>329</v>
      </c>
      <c r="C99" s="125" t="s">
        <v>57</v>
      </c>
      <c r="D99" s="125">
        <v>2</v>
      </c>
      <c r="E99" s="125">
        <v>3280.0010000000002</v>
      </c>
      <c r="F99" s="125">
        <v>3145.0230000000001</v>
      </c>
      <c r="G99" s="125">
        <v>595</v>
      </c>
      <c r="H99" s="125">
        <v>3794.8</v>
      </c>
      <c r="J99" s="125">
        <v>10870</v>
      </c>
      <c r="K99" s="126"/>
      <c r="L99" s="125" t="s">
        <v>348</v>
      </c>
      <c r="M99" s="126">
        <v>45247</v>
      </c>
      <c r="W99" s="125">
        <v>1.4950000000000001</v>
      </c>
      <c r="AD99" s="125" t="s">
        <v>584</v>
      </c>
      <c r="AF99" s="125" t="s">
        <v>712</v>
      </c>
      <c r="AG99" s="125" t="s">
        <v>711</v>
      </c>
      <c r="AL99" s="125" t="s">
        <v>708</v>
      </c>
      <c r="AM99" s="126">
        <v>45250</v>
      </c>
      <c r="AP99" s="125">
        <v>2</v>
      </c>
      <c r="AQ99" s="125">
        <v>25.131</v>
      </c>
      <c r="BA99" s="125" t="s">
        <v>610</v>
      </c>
      <c r="BB99" s="125">
        <v>5333203</v>
      </c>
    </row>
    <row r="100" spans="1:54" x14ac:dyDescent="0.3">
      <c r="A100" s="125" t="s">
        <v>294</v>
      </c>
      <c r="B100" s="125" t="s">
        <v>264</v>
      </c>
      <c r="C100" s="125" t="s">
        <v>56</v>
      </c>
      <c r="D100" s="125">
        <v>1</v>
      </c>
      <c r="E100" s="125">
        <v>2930.0070000000001</v>
      </c>
      <c r="F100" s="125">
        <v>4531</v>
      </c>
      <c r="G100" s="125">
        <v>200.03800000000001</v>
      </c>
      <c r="H100" s="125">
        <v>4937.6499999999996</v>
      </c>
      <c r="J100" s="125">
        <v>10010</v>
      </c>
      <c r="K100" s="126"/>
      <c r="L100" s="125" t="s">
        <v>278</v>
      </c>
      <c r="M100" s="126">
        <v>45244</v>
      </c>
      <c r="W100" s="125">
        <v>2.0110000000000001</v>
      </c>
      <c r="AD100" s="125" t="s">
        <v>277</v>
      </c>
      <c r="AF100" s="125" t="s">
        <v>706</v>
      </c>
      <c r="AG100" s="125" t="s">
        <v>713</v>
      </c>
      <c r="AL100" s="125" t="s">
        <v>708</v>
      </c>
      <c r="AM100" s="126">
        <v>45245</v>
      </c>
      <c r="AQ100" s="125">
        <v>26.478999999999999</v>
      </c>
      <c r="BA100" s="125" t="s">
        <v>455</v>
      </c>
      <c r="BB100" s="125">
        <v>5284678</v>
      </c>
    </row>
    <row r="101" spans="1:54" x14ac:dyDescent="0.3">
      <c r="A101" s="125" t="s">
        <v>294</v>
      </c>
      <c r="B101" s="125" t="s">
        <v>145</v>
      </c>
      <c r="C101" s="125" t="s">
        <v>56</v>
      </c>
      <c r="D101" s="125">
        <v>3</v>
      </c>
      <c r="E101" s="125">
        <v>3130.0010000000002</v>
      </c>
      <c r="F101" s="125">
        <v>5481.0010000000002</v>
      </c>
      <c r="G101" s="125">
        <v>200.02500000000001</v>
      </c>
      <c r="H101" s="125">
        <v>7195.27</v>
      </c>
      <c r="J101" s="125">
        <v>12270</v>
      </c>
      <c r="K101" s="126"/>
      <c r="L101" s="125" t="s">
        <v>278</v>
      </c>
      <c r="M101" s="126">
        <v>45257</v>
      </c>
      <c r="W101" s="125">
        <v>2.931</v>
      </c>
      <c r="AD101" s="125" t="s">
        <v>277</v>
      </c>
      <c r="AF101" s="125" t="s">
        <v>712</v>
      </c>
      <c r="AG101" s="125" t="s">
        <v>706</v>
      </c>
      <c r="AL101" s="125" t="s">
        <v>708</v>
      </c>
      <c r="AM101" s="126">
        <v>45258</v>
      </c>
      <c r="AQ101" s="125">
        <v>33.822000000000003</v>
      </c>
      <c r="BA101" s="125" t="s">
        <v>411</v>
      </c>
      <c r="BB101" s="125">
        <v>5284505</v>
      </c>
    </row>
    <row r="102" spans="1:54" x14ac:dyDescent="0.3">
      <c r="A102" s="125" t="s">
        <v>294</v>
      </c>
      <c r="B102" s="125" t="s">
        <v>157</v>
      </c>
      <c r="C102" s="125" t="s">
        <v>56</v>
      </c>
      <c r="D102" s="125">
        <v>1</v>
      </c>
      <c r="E102" s="125">
        <v>3400.0010000000002</v>
      </c>
      <c r="F102" s="125">
        <v>2081</v>
      </c>
      <c r="G102" s="125">
        <v>200.00200000000001</v>
      </c>
      <c r="H102" s="125">
        <v>3442.29</v>
      </c>
      <c r="J102" s="125">
        <v>14430</v>
      </c>
      <c r="K102" s="126"/>
      <c r="L102" s="125" t="s">
        <v>278</v>
      </c>
      <c r="M102" s="126">
        <v>45271</v>
      </c>
      <c r="W102" s="125">
        <v>1.4059999999999999</v>
      </c>
      <c r="AD102" s="125" t="s">
        <v>277</v>
      </c>
      <c r="AF102" s="125" t="s">
        <v>710</v>
      </c>
      <c r="AG102" s="125" t="s">
        <v>710</v>
      </c>
      <c r="AL102" s="125" t="s">
        <v>708</v>
      </c>
      <c r="AM102" s="126">
        <v>45272</v>
      </c>
      <c r="AQ102" s="125">
        <v>10.102</v>
      </c>
      <c r="BA102" s="125" t="s">
        <v>647</v>
      </c>
      <c r="BB102" s="125">
        <v>5332505</v>
      </c>
    </row>
    <row r="103" spans="1:54" x14ac:dyDescent="0.3">
      <c r="A103" s="125" t="s">
        <v>294</v>
      </c>
      <c r="B103" s="125" t="s">
        <v>346</v>
      </c>
      <c r="C103" s="125" t="s">
        <v>57</v>
      </c>
      <c r="D103" s="125">
        <v>1</v>
      </c>
      <c r="E103" s="125">
        <v>3780.0079999999998</v>
      </c>
      <c r="F103" s="125">
        <v>3375.0129999999999</v>
      </c>
      <c r="G103" s="125">
        <v>595.01800000000003</v>
      </c>
      <c r="H103" s="125">
        <v>4961.08</v>
      </c>
      <c r="J103" s="125">
        <v>14230</v>
      </c>
      <c r="K103" s="126"/>
      <c r="L103" s="125" t="s">
        <v>348</v>
      </c>
      <c r="M103" s="126">
        <v>45268</v>
      </c>
      <c r="W103" s="125">
        <v>1.9590000000000001</v>
      </c>
      <c r="AD103" s="125" t="s">
        <v>584</v>
      </c>
      <c r="AF103" s="125" t="s">
        <v>710</v>
      </c>
      <c r="AG103" s="125" t="s">
        <v>710</v>
      </c>
      <c r="AL103" s="125" t="s">
        <v>708</v>
      </c>
      <c r="AM103" s="126">
        <v>45271</v>
      </c>
      <c r="AQ103" s="125">
        <v>36.409999999999997</v>
      </c>
      <c r="BA103" s="125" t="s">
        <v>555</v>
      </c>
      <c r="BB103" s="125">
        <v>5316438</v>
      </c>
    </row>
    <row r="104" spans="1:54" x14ac:dyDescent="0.3">
      <c r="A104" s="125" t="s">
        <v>294</v>
      </c>
      <c r="B104" s="125" t="s">
        <v>255</v>
      </c>
      <c r="C104" s="125" t="s">
        <v>56</v>
      </c>
      <c r="D104" s="125">
        <v>1</v>
      </c>
      <c r="E104" s="125">
        <v>2910.0070000000001</v>
      </c>
      <c r="F104" s="125">
        <v>1560</v>
      </c>
      <c r="G104" s="125">
        <v>200.03899999999999</v>
      </c>
      <c r="H104" s="125">
        <v>1169.95</v>
      </c>
      <c r="J104" s="125">
        <v>15520</v>
      </c>
      <c r="K104" s="126"/>
      <c r="L104" s="125" t="s">
        <v>753</v>
      </c>
      <c r="M104" s="126">
        <v>45278</v>
      </c>
      <c r="W104" s="125">
        <v>0.46100000000000002</v>
      </c>
      <c r="AD104" s="125" t="s">
        <v>277</v>
      </c>
      <c r="AF104" s="125" t="s">
        <v>710</v>
      </c>
      <c r="AG104" s="125" t="s">
        <v>707</v>
      </c>
      <c r="AL104" s="125" t="s">
        <v>708</v>
      </c>
      <c r="AM104" s="126">
        <v>45279</v>
      </c>
      <c r="AP104" s="125">
        <v>1</v>
      </c>
      <c r="AQ104" s="125">
        <v>11.118</v>
      </c>
      <c r="BA104" s="125" t="s">
        <v>671</v>
      </c>
      <c r="BB104" s="125">
        <v>5332475</v>
      </c>
    </row>
    <row r="105" spans="1:54" x14ac:dyDescent="0.3">
      <c r="A105" s="125" t="s">
        <v>294</v>
      </c>
      <c r="B105" s="125" t="s">
        <v>216</v>
      </c>
      <c r="C105" s="125" t="s">
        <v>56</v>
      </c>
      <c r="D105" s="125">
        <v>4</v>
      </c>
      <c r="E105" s="125">
        <v>3130.0010000000002</v>
      </c>
      <c r="F105" s="125">
        <v>3341</v>
      </c>
      <c r="G105" s="125">
        <v>200.001</v>
      </c>
      <c r="H105" s="125">
        <v>1910.73</v>
      </c>
      <c r="J105" s="125">
        <v>10050</v>
      </c>
      <c r="K105" s="126"/>
      <c r="L105" s="125" t="s">
        <v>278</v>
      </c>
      <c r="M105" s="126">
        <v>45244</v>
      </c>
      <c r="W105" s="125">
        <v>0.76200000000000001</v>
      </c>
      <c r="AD105" s="125" t="s">
        <v>277</v>
      </c>
      <c r="AF105" s="125" t="s">
        <v>706</v>
      </c>
      <c r="AG105" s="125" t="s">
        <v>713</v>
      </c>
      <c r="AL105" s="125" t="s">
        <v>708</v>
      </c>
      <c r="AM105" s="126">
        <v>45245</v>
      </c>
      <c r="AP105" s="125">
        <v>3</v>
      </c>
      <c r="AQ105" s="125">
        <v>13.866</v>
      </c>
      <c r="BA105" s="125" t="s">
        <v>399</v>
      </c>
      <c r="BB105" s="125">
        <v>5284438</v>
      </c>
    </row>
    <row r="106" spans="1:54" x14ac:dyDescent="0.3">
      <c r="A106" s="125" t="s">
        <v>294</v>
      </c>
      <c r="B106" s="125" t="s">
        <v>155</v>
      </c>
      <c r="C106" s="125" t="s">
        <v>56</v>
      </c>
      <c r="D106" s="125">
        <v>4</v>
      </c>
      <c r="E106" s="125">
        <v>2920.0059999999999</v>
      </c>
      <c r="F106" s="125">
        <v>1781</v>
      </c>
      <c r="G106" s="125">
        <v>200.00399999999999</v>
      </c>
      <c r="H106" s="125">
        <v>2529.29</v>
      </c>
      <c r="J106" s="125">
        <v>13341</v>
      </c>
      <c r="K106" s="126"/>
      <c r="L106" s="125" t="s">
        <v>278</v>
      </c>
      <c r="M106" s="126">
        <v>45264</v>
      </c>
      <c r="W106" s="125">
        <v>1.0329999999999999</v>
      </c>
      <c r="AD106" s="125" t="s">
        <v>277</v>
      </c>
      <c r="AF106" s="125" t="s">
        <v>710</v>
      </c>
      <c r="AG106" s="125" t="s">
        <v>712</v>
      </c>
      <c r="AL106" s="125" t="s">
        <v>708</v>
      </c>
      <c r="AM106" s="126">
        <v>45265</v>
      </c>
      <c r="AQ106" s="125">
        <v>5.9859999999999998</v>
      </c>
      <c r="BA106" s="125" t="s">
        <v>450</v>
      </c>
      <c r="BB106" s="125">
        <v>5284653</v>
      </c>
    </row>
    <row r="107" spans="1:54" x14ac:dyDescent="0.3">
      <c r="A107" s="125" t="s">
        <v>294</v>
      </c>
      <c r="B107" s="125" t="s">
        <v>256</v>
      </c>
      <c r="C107" s="125" t="s">
        <v>56</v>
      </c>
      <c r="D107" s="125">
        <v>1</v>
      </c>
      <c r="E107" s="125">
        <v>2900</v>
      </c>
      <c r="F107" s="125">
        <v>1815</v>
      </c>
      <c r="G107" s="125">
        <v>200</v>
      </c>
      <c r="H107" s="125">
        <v>2559.11</v>
      </c>
      <c r="J107" s="125">
        <v>8790</v>
      </c>
      <c r="K107" s="126"/>
      <c r="L107" s="125" t="s">
        <v>753</v>
      </c>
      <c r="M107" s="126">
        <v>45236</v>
      </c>
      <c r="W107" s="125">
        <v>1.046</v>
      </c>
      <c r="AD107" s="125" t="s">
        <v>277</v>
      </c>
      <c r="AF107" s="125" t="s">
        <v>706</v>
      </c>
      <c r="AG107" s="125" t="s">
        <v>755</v>
      </c>
      <c r="AL107" s="125" t="s">
        <v>708</v>
      </c>
      <c r="AM107" s="126">
        <v>45237</v>
      </c>
      <c r="AQ107" s="125">
        <v>6.024</v>
      </c>
      <c r="BA107" s="125" t="s">
        <v>538</v>
      </c>
      <c r="BB107" s="125">
        <v>5312277</v>
      </c>
    </row>
    <row r="108" spans="1:54" x14ac:dyDescent="0.3">
      <c r="A108" s="125" t="s">
        <v>294</v>
      </c>
      <c r="B108" s="125" t="s">
        <v>331</v>
      </c>
      <c r="C108" s="125" t="s">
        <v>57</v>
      </c>
      <c r="D108" s="125">
        <v>2</v>
      </c>
      <c r="E108" s="125">
        <v>3130.0079999999998</v>
      </c>
      <c r="F108" s="125">
        <v>7290.0709999999999</v>
      </c>
      <c r="G108" s="125">
        <v>595.029</v>
      </c>
      <c r="H108" s="125">
        <v>9356.67</v>
      </c>
      <c r="J108" s="125">
        <v>15310</v>
      </c>
      <c r="K108" s="126"/>
      <c r="L108" s="125" t="s">
        <v>348</v>
      </c>
      <c r="M108" s="126">
        <v>45275</v>
      </c>
      <c r="W108" s="125">
        <v>3.6829999999999998</v>
      </c>
      <c r="AD108" s="125" t="s">
        <v>584</v>
      </c>
      <c r="AF108" s="125" t="s">
        <v>710</v>
      </c>
      <c r="AG108" s="125" t="s">
        <v>707</v>
      </c>
      <c r="AL108" s="125" t="s">
        <v>708</v>
      </c>
      <c r="AM108" s="126">
        <v>45278</v>
      </c>
      <c r="AP108" s="125">
        <v>2</v>
      </c>
      <c r="AQ108" s="125">
        <v>80.302000000000007</v>
      </c>
      <c r="BA108" s="125" t="s">
        <v>655</v>
      </c>
      <c r="BB108" s="125">
        <v>5331520</v>
      </c>
    </row>
    <row r="109" spans="1:54" x14ac:dyDescent="0.3">
      <c r="A109" s="125" t="s">
        <v>294</v>
      </c>
      <c r="B109" s="125" t="s">
        <v>320</v>
      </c>
      <c r="C109" s="125" t="s">
        <v>57</v>
      </c>
      <c r="D109" s="125">
        <v>2</v>
      </c>
      <c r="E109" s="125">
        <v>3130.0070000000001</v>
      </c>
      <c r="F109" s="125">
        <v>8380.0220000000008</v>
      </c>
      <c r="G109" s="125">
        <v>595</v>
      </c>
      <c r="H109" s="125">
        <v>10685.05</v>
      </c>
      <c r="J109" s="125">
        <v>15300</v>
      </c>
      <c r="K109" s="126"/>
      <c r="L109" s="125" t="s">
        <v>349</v>
      </c>
      <c r="M109" s="126">
        <v>45275</v>
      </c>
      <c r="W109" s="125">
        <v>4.2210000000000001</v>
      </c>
      <c r="AD109" s="125" t="s">
        <v>584</v>
      </c>
      <c r="AF109" s="125" t="s">
        <v>710</v>
      </c>
      <c r="AG109" s="125" t="s">
        <v>707</v>
      </c>
      <c r="AL109" s="125" t="s">
        <v>280</v>
      </c>
      <c r="AM109" s="126">
        <v>45278</v>
      </c>
      <c r="AP109" s="125">
        <v>3</v>
      </c>
      <c r="AQ109" s="125">
        <v>59.994999999999997</v>
      </c>
      <c r="BA109" s="125" t="s">
        <v>649</v>
      </c>
      <c r="BB109" s="125">
        <v>5331497</v>
      </c>
    </row>
    <row r="110" spans="1:54" x14ac:dyDescent="0.3">
      <c r="A110" s="125" t="s">
        <v>294</v>
      </c>
      <c r="B110" s="125" t="s">
        <v>230</v>
      </c>
      <c r="C110" s="125" t="s">
        <v>56</v>
      </c>
      <c r="D110" s="125">
        <v>2</v>
      </c>
      <c r="E110" s="125">
        <v>3400.0010000000002</v>
      </c>
      <c r="F110" s="125">
        <v>2002</v>
      </c>
      <c r="G110" s="125">
        <v>200.001</v>
      </c>
      <c r="H110" s="125">
        <v>1989.91</v>
      </c>
      <c r="J110" s="125">
        <v>14560</v>
      </c>
      <c r="K110" s="126"/>
      <c r="L110" s="125" t="s">
        <v>278</v>
      </c>
      <c r="M110" s="126">
        <v>45271</v>
      </c>
      <c r="W110" s="125">
        <v>0.79700000000000004</v>
      </c>
      <c r="AD110" s="125" t="s">
        <v>277</v>
      </c>
      <c r="AF110" s="125" t="s">
        <v>710</v>
      </c>
      <c r="AG110" s="125" t="s">
        <v>710</v>
      </c>
      <c r="AL110" s="125" t="s">
        <v>708</v>
      </c>
      <c r="AM110" s="126">
        <v>45272</v>
      </c>
      <c r="AP110" s="125">
        <v>2</v>
      </c>
      <c r="AQ110" s="125">
        <v>9.8219999999999992</v>
      </c>
      <c r="BA110" s="125" t="s">
        <v>633</v>
      </c>
      <c r="BB110" s="125">
        <v>5332465</v>
      </c>
    </row>
    <row r="111" spans="1:54" x14ac:dyDescent="0.3">
      <c r="A111" s="125" t="s">
        <v>294</v>
      </c>
      <c r="B111" s="125" t="s">
        <v>366</v>
      </c>
      <c r="C111" s="125" t="s">
        <v>56</v>
      </c>
      <c r="D111" s="125">
        <v>1</v>
      </c>
      <c r="E111" s="125">
        <v>1110</v>
      </c>
      <c r="F111" s="125">
        <v>5160</v>
      </c>
      <c r="G111" s="125">
        <v>140.005</v>
      </c>
      <c r="H111" s="125">
        <v>1966.19</v>
      </c>
      <c r="J111" s="125">
        <v>15630</v>
      </c>
      <c r="K111" s="126"/>
      <c r="L111" s="125" t="s">
        <v>753</v>
      </c>
      <c r="M111" s="126">
        <v>45278</v>
      </c>
      <c r="W111" s="125">
        <v>0.79500000000000004</v>
      </c>
      <c r="AD111" s="125" t="s">
        <v>359</v>
      </c>
      <c r="AF111" s="125" t="s">
        <v>710</v>
      </c>
      <c r="AG111" s="125" t="s">
        <v>707</v>
      </c>
      <c r="AL111" s="125" t="s">
        <v>708</v>
      </c>
      <c r="AM111" s="126">
        <v>45279</v>
      </c>
      <c r="AQ111" s="125">
        <v>17.207999999999998</v>
      </c>
      <c r="BA111" s="125" t="s">
        <v>666</v>
      </c>
      <c r="BB111" s="125">
        <v>5327873</v>
      </c>
    </row>
    <row r="112" spans="1:54" x14ac:dyDescent="0.3">
      <c r="A112" s="125" t="s">
        <v>294</v>
      </c>
      <c r="B112" s="125" t="s">
        <v>316</v>
      </c>
      <c r="C112" s="125" t="s">
        <v>57</v>
      </c>
      <c r="D112" s="125">
        <v>3</v>
      </c>
      <c r="E112" s="125">
        <v>3280.0010000000002</v>
      </c>
      <c r="F112" s="125">
        <v>6160.0060000000003</v>
      </c>
      <c r="G112" s="125">
        <v>595.01700000000005</v>
      </c>
      <c r="H112" s="125">
        <v>9592.17</v>
      </c>
      <c r="J112" s="125">
        <v>12100</v>
      </c>
      <c r="K112" s="126"/>
      <c r="L112" s="125" t="s">
        <v>349</v>
      </c>
      <c r="M112" s="126">
        <v>45254</v>
      </c>
      <c r="W112" s="125">
        <v>3.802</v>
      </c>
      <c r="AD112" s="125" t="s">
        <v>584</v>
      </c>
      <c r="AF112" s="125" t="s">
        <v>712</v>
      </c>
      <c r="AG112" s="125" t="s">
        <v>706</v>
      </c>
      <c r="AL112" s="125" t="s">
        <v>708</v>
      </c>
      <c r="AM112" s="126">
        <v>45257</v>
      </c>
      <c r="AQ112" s="125">
        <v>65.738</v>
      </c>
      <c r="BA112" s="125" t="s">
        <v>611</v>
      </c>
      <c r="BB112" s="125">
        <v>5331470</v>
      </c>
    </row>
    <row r="113" spans="1:54" x14ac:dyDescent="0.3">
      <c r="A113" s="125" t="s">
        <v>294</v>
      </c>
      <c r="B113" s="125" t="s">
        <v>158</v>
      </c>
      <c r="C113" s="125" t="s">
        <v>56</v>
      </c>
      <c r="D113" s="125">
        <v>1</v>
      </c>
      <c r="E113" s="125">
        <v>3420.0070000000001</v>
      </c>
      <c r="F113" s="125">
        <v>4145</v>
      </c>
      <c r="G113" s="125">
        <v>200.00299999999999</v>
      </c>
      <c r="H113" s="125">
        <v>6897.85</v>
      </c>
      <c r="J113" s="125">
        <v>14480</v>
      </c>
      <c r="K113" s="126"/>
      <c r="L113" s="125" t="s">
        <v>753</v>
      </c>
      <c r="M113" s="126">
        <v>45271</v>
      </c>
      <c r="W113" s="125">
        <v>2.8170000000000002</v>
      </c>
      <c r="AD113" s="125" t="s">
        <v>277</v>
      </c>
      <c r="AF113" s="125" t="s">
        <v>710</v>
      </c>
      <c r="AG113" s="125" t="s">
        <v>710</v>
      </c>
      <c r="AL113" s="125" t="s">
        <v>708</v>
      </c>
      <c r="AM113" s="126">
        <v>45272</v>
      </c>
      <c r="AQ113" s="125">
        <v>21.533000000000001</v>
      </c>
      <c r="BA113" s="125" t="s">
        <v>632</v>
      </c>
      <c r="BB113" s="125">
        <v>5332464</v>
      </c>
    </row>
    <row r="114" spans="1:54" x14ac:dyDescent="0.3">
      <c r="A114" s="125" t="s">
        <v>294</v>
      </c>
      <c r="B114" s="125" t="s">
        <v>372</v>
      </c>
      <c r="C114" s="125" t="s">
        <v>57</v>
      </c>
      <c r="D114" s="125">
        <v>1</v>
      </c>
      <c r="E114" s="125">
        <v>3280.0070000000001</v>
      </c>
      <c r="F114" s="125">
        <v>6210.0069999999996</v>
      </c>
      <c r="G114" s="125">
        <v>595.00199999999995</v>
      </c>
      <c r="H114" s="125">
        <v>7738.94</v>
      </c>
      <c r="J114" s="125">
        <v>13180</v>
      </c>
      <c r="K114" s="126">
        <v>45149</v>
      </c>
      <c r="L114" s="125" t="s">
        <v>349</v>
      </c>
      <c r="M114" s="126">
        <v>45261</v>
      </c>
      <c r="W114" s="125">
        <v>3.0150000000000001</v>
      </c>
      <c r="AD114" s="125" t="s">
        <v>584</v>
      </c>
      <c r="AF114" s="125" t="s">
        <v>710</v>
      </c>
      <c r="AG114" s="125" t="s">
        <v>712</v>
      </c>
      <c r="AL114" s="125" t="s">
        <v>708</v>
      </c>
      <c r="AM114" s="126">
        <v>45264</v>
      </c>
      <c r="AP114" s="125">
        <v>2</v>
      </c>
      <c r="AQ114" s="125">
        <v>26.571000000000002</v>
      </c>
      <c r="BA114" s="125" t="s">
        <v>560</v>
      </c>
      <c r="BB114" s="125">
        <v>5316450</v>
      </c>
    </row>
    <row r="115" spans="1:54" x14ac:dyDescent="0.3">
      <c r="A115" s="125" t="s">
        <v>294</v>
      </c>
      <c r="B115" s="125" t="s">
        <v>228</v>
      </c>
      <c r="C115" s="125" t="s">
        <v>56</v>
      </c>
      <c r="D115" s="125">
        <v>1</v>
      </c>
      <c r="E115" s="125">
        <v>2920.0070000000001</v>
      </c>
      <c r="F115" s="125">
        <v>4531</v>
      </c>
      <c r="G115" s="125">
        <v>200.03800000000001</v>
      </c>
      <c r="H115" s="125">
        <v>4920.1899999999996</v>
      </c>
      <c r="J115" s="125">
        <v>8920</v>
      </c>
      <c r="K115" s="126"/>
      <c r="L115" s="125" t="s">
        <v>278</v>
      </c>
      <c r="M115" s="126">
        <v>45237</v>
      </c>
      <c r="W115" s="125">
        <v>2.0030000000000001</v>
      </c>
      <c r="AD115" s="125" t="s">
        <v>277</v>
      </c>
      <c r="AF115" s="125" t="s">
        <v>706</v>
      </c>
      <c r="AG115" s="125" t="s">
        <v>755</v>
      </c>
      <c r="AL115" s="125" t="s">
        <v>708</v>
      </c>
      <c r="AM115" s="126">
        <v>45238</v>
      </c>
      <c r="AQ115" s="125">
        <v>26.556999999999999</v>
      </c>
      <c r="BA115" s="125" t="s">
        <v>525</v>
      </c>
      <c r="BB115" s="125">
        <v>5312242</v>
      </c>
    </row>
    <row r="116" spans="1:54" x14ac:dyDescent="0.3">
      <c r="A116" s="125" t="s">
        <v>294</v>
      </c>
      <c r="B116" s="125" t="s">
        <v>150</v>
      </c>
      <c r="C116" s="125" t="s">
        <v>56</v>
      </c>
      <c r="D116" s="125">
        <v>1</v>
      </c>
      <c r="E116" s="125">
        <v>3630.0070000000001</v>
      </c>
      <c r="F116" s="125">
        <v>7950</v>
      </c>
      <c r="G116" s="125">
        <v>200.00299999999999</v>
      </c>
      <c r="H116" s="125">
        <v>9361.32</v>
      </c>
      <c r="J116" s="125">
        <v>14350</v>
      </c>
      <c r="K116" s="126"/>
      <c r="L116" s="125" t="s">
        <v>775</v>
      </c>
      <c r="M116" s="126">
        <v>45268</v>
      </c>
      <c r="W116" s="125">
        <v>3.7970000000000002</v>
      </c>
      <c r="AD116" s="125" t="s">
        <v>293</v>
      </c>
      <c r="AF116" s="125" t="s">
        <v>710</v>
      </c>
      <c r="AG116" s="125" t="s">
        <v>710</v>
      </c>
      <c r="AL116" s="125" t="s">
        <v>708</v>
      </c>
      <c r="AM116" s="126">
        <v>45271</v>
      </c>
      <c r="AP116" s="125">
        <v>1</v>
      </c>
      <c r="AQ116" s="125">
        <v>37.731000000000002</v>
      </c>
      <c r="BA116" s="125" t="s">
        <v>630</v>
      </c>
      <c r="BB116" s="125">
        <v>5332490</v>
      </c>
    </row>
    <row r="117" spans="1:54" x14ac:dyDescent="0.3">
      <c r="A117" s="125" t="s">
        <v>294</v>
      </c>
      <c r="B117" s="125" t="s">
        <v>284</v>
      </c>
      <c r="C117" s="125" t="s">
        <v>56</v>
      </c>
      <c r="D117" s="125">
        <v>1</v>
      </c>
      <c r="E117" s="125">
        <v>1110</v>
      </c>
      <c r="F117" s="125">
        <v>6410</v>
      </c>
      <c r="G117" s="125">
        <v>140</v>
      </c>
      <c r="H117" s="125">
        <v>2455.9699999999998</v>
      </c>
      <c r="J117" s="125">
        <v>15600</v>
      </c>
      <c r="K117" s="126"/>
      <c r="L117" s="125" t="s">
        <v>753</v>
      </c>
      <c r="M117" s="126">
        <v>45278</v>
      </c>
      <c r="W117" s="125">
        <v>0.99299999999999999</v>
      </c>
      <c r="AD117" s="125" t="s">
        <v>359</v>
      </c>
      <c r="AF117" s="125" t="s">
        <v>710</v>
      </c>
      <c r="AG117" s="125" t="s">
        <v>707</v>
      </c>
      <c r="AL117" s="125" t="s">
        <v>708</v>
      </c>
      <c r="AM117" s="126">
        <v>45279</v>
      </c>
      <c r="AQ117" s="125">
        <v>21.135999999999999</v>
      </c>
      <c r="BA117" s="125" t="s">
        <v>665</v>
      </c>
      <c r="BB117" s="125">
        <v>5327866</v>
      </c>
    </row>
    <row r="118" spans="1:54" x14ac:dyDescent="0.3">
      <c r="A118" s="125" t="s">
        <v>294</v>
      </c>
      <c r="B118" s="125" t="s">
        <v>379</v>
      </c>
      <c r="C118" s="125" t="s">
        <v>57</v>
      </c>
      <c r="D118" s="125">
        <v>1</v>
      </c>
      <c r="E118" s="125">
        <v>3280.0239999999999</v>
      </c>
      <c r="F118" s="125">
        <v>7290.0730000000003</v>
      </c>
      <c r="G118" s="125">
        <v>595.029</v>
      </c>
      <c r="H118" s="125">
        <v>9410.89</v>
      </c>
      <c r="J118" s="125">
        <v>13080</v>
      </c>
      <c r="K118" s="126">
        <v>45149</v>
      </c>
      <c r="L118" s="125" t="s">
        <v>348</v>
      </c>
      <c r="M118" s="126">
        <v>45261</v>
      </c>
      <c r="W118" s="125">
        <v>3.6760000000000002</v>
      </c>
      <c r="AD118" s="125" t="s">
        <v>584</v>
      </c>
      <c r="AF118" s="125" t="s">
        <v>710</v>
      </c>
      <c r="AG118" s="125" t="s">
        <v>712</v>
      </c>
      <c r="AL118" s="125" t="s">
        <v>708</v>
      </c>
      <c r="AM118" s="126">
        <v>45264</v>
      </c>
      <c r="AP118" s="125">
        <v>2</v>
      </c>
      <c r="AQ118" s="125">
        <v>31.72</v>
      </c>
      <c r="BA118" s="125" t="s">
        <v>567</v>
      </c>
      <c r="BB118" s="125">
        <v>5316465</v>
      </c>
    </row>
    <row r="119" spans="1:54" x14ac:dyDescent="0.3">
      <c r="A119" s="125" t="s">
        <v>294</v>
      </c>
      <c r="B119" s="125" t="s">
        <v>148</v>
      </c>
      <c r="C119" s="125" t="s">
        <v>56</v>
      </c>
      <c r="D119" s="125">
        <v>1</v>
      </c>
      <c r="E119" s="125">
        <v>3400.0070000000001</v>
      </c>
      <c r="F119" s="125">
        <v>2460</v>
      </c>
      <c r="G119" s="125">
        <v>200.00299999999999</v>
      </c>
      <c r="H119" s="125">
        <v>3964.14</v>
      </c>
      <c r="J119" s="125">
        <v>14440</v>
      </c>
      <c r="K119" s="126"/>
      <c r="L119" s="125" t="s">
        <v>753</v>
      </c>
      <c r="M119" s="126">
        <v>45271</v>
      </c>
      <c r="W119" s="125">
        <v>1.61</v>
      </c>
      <c r="AD119" s="125" t="s">
        <v>277</v>
      </c>
      <c r="AF119" s="125" t="s">
        <v>710</v>
      </c>
      <c r="AG119" s="125" t="s">
        <v>710</v>
      </c>
      <c r="AL119" s="125" t="s">
        <v>708</v>
      </c>
      <c r="AM119" s="126">
        <v>45272</v>
      </c>
      <c r="AQ119" s="125">
        <v>33.018999999999998</v>
      </c>
      <c r="BA119" s="125" t="s">
        <v>643</v>
      </c>
      <c r="BB119" s="125">
        <v>5332498</v>
      </c>
    </row>
    <row r="120" spans="1:54" x14ac:dyDescent="0.3">
      <c r="A120" s="125" t="s">
        <v>294</v>
      </c>
      <c r="B120" s="125" t="s">
        <v>387</v>
      </c>
      <c r="C120" s="125" t="s">
        <v>56</v>
      </c>
      <c r="D120" s="125">
        <v>1</v>
      </c>
      <c r="E120" s="125">
        <v>1160</v>
      </c>
      <c r="F120" s="125">
        <v>8380</v>
      </c>
      <c r="G120" s="125">
        <v>140</v>
      </c>
      <c r="H120" s="125">
        <v>3351.26</v>
      </c>
      <c r="J120" s="125">
        <v>16240</v>
      </c>
      <c r="K120" s="126"/>
      <c r="L120" s="125" t="s">
        <v>753</v>
      </c>
      <c r="M120" s="126">
        <v>45296</v>
      </c>
      <c r="W120" s="125">
        <v>1.3540000000000001</v>
      </c>
      <c r="AD120" s="125" t="s">
        <v>359</v>
      </c>
      <c r="AF120" s="125" t="s">
        <v>710</v>
      </c>
      <c r="AG120" s="125" t="s">
        <v>709</v>
      </c>
      <c r="AL120" s="125" t="s">
        <v>708</v>
      </c>
      <c r="AM120" s="126">
        <v>45287</v>
      </c>
      <c r="AQ120" s="125">
        <v>31.004000000000001</v>
      </c>
      <c r="BA120" s="125" t="s">
        <v>685</v>
      </c>
      <c r="BB120" s="125">
        <v>5327874</v>
      </c>
    </row>
    <row r="121" spans="1:54" x14ac:dyDescent="0.3">
      <c r="A121" s="125" t="s">
        <v>294</v>
      </c>
      <c r="B121" s="125" t="s">
        <v>185</v>
      </c>
      <c r="C121" s="125" t="s">
        <v>56</v>
      </c>
      <c r="D121" s="125">
        <v>1</v>
      </c>
      <c r="E121" s="125">
        <v>3120.0070000000001</v>
      </c>
      <c r="F121" s="125">
        <v>2081.0010000000002</v>
      </c>
      <c r="G121" s="125">
        <v>200.00399999999999</v>
      </c>
      <c r="H121" s="125">
        <v>3123.77</v>
      </c>
      <c r="J121" s="125">
        <v>8850</v>
      </c>
      <c r="K121" s="126"/>
      <c r="L121" s="125" t="s">
        <v>278</v>
      </c>
      <c r="M121" s="126">
        <v>45237</v>
      </c>
      <c r="W121" s="125">
        <v>1.268</v>
      </c>
      <c r="AD121" s="125" t="s">
        <v>277</v>
      </c>
      <c r="AF121" s="125" t="s">
        <v>706</v>
      </c>
      <c r="AG121" s="125" t="s">
        <v>755</v>
      </c>
      <c r="AL121" s="125" t="s">
        <v>708</v>
      </c>
      <c r="AM121" s="126">
        <v>45238</v>
      </c>
      <c r="AQ121" s="125">
        <v>29.815000000000001</v>
      </c>
      <c r="BA121" s="125" t="s">
        <v>529</v>
      </c>
      <c r="BB121" s="125">
        <v>5312249</v>
      </c>
    </row>
    <row r="122" spans="1:54" x14ac:dyDescent="0.3">
      <c r="A122" s="125" t="s">
        <v>294</v>
      </c>
      <c r="B122" s="125" t="s">
        <v>330</v>
      </c>
      <c r="C122" s="125" t="s">
        <v>57</v>
      </c>
      <c r="D122" s="125">
        <v>4</v>
      </c>
      <c r="E122" s="125">
        <v>3280.0219999999999</v>
      </c>
      <c r="F122" s="125">
        <v>6170.0129999999999</v>
      </c>
      <c r="G122" s="125">
        <v>595</v>
      </c>
      <c r="H122" s="125">
        <v>7075.69</v>
      </c>
      <c r="J122" s="125">
        <v>10940</v>
      </c>
      <c r="K122" s="126"/>
      <c r="L122" s="125" t="s">
        <v>348</v>
      </c>
      <c r="M122" s="126">
        <v>45247</v>
      </c>
      <c r="W122" s="125">
        <v>2.8</v>
      </c>
      <c r="AD122" s="125" t="s">
        <v>584</v>
      </c>
      <c r="AF122" s="125" t="s">
        <v>712</v>
      </c>
      <c r="AG122" s="125" t="s">
        <v>711</v>
      </c>
      <c r="AL122" s="125" t="s">
        <v>708</v>
      </c>
      <c r="AM122" s="126">
        <v>45250</v>
      </c>
      <c r="AP122" s="125">
        <v>2</v>
      </c>
      <c r="AQ122" s="125">
        <v>33.588999999999999</v>
      </c>
      <c r="BA122" s="125" t="s">
        <v>593</v>
      </c>
      <c r="BB122" s="125">
        <v>5326613</v>
      </c>
    </row>
    <row r="123" spans="1:54" x14ac:dyDescent="0.3">
      <c r="A123" s="125" t="s">
        <v>294</v>
      </c>
      <c r="B123" s="125" t="s">
        <v>147</v>
      </c>
      <c r="C123" s="125" t="s">
        <v>56</v>
      </c>
      <c r="D123" s="125">
        <v>3</v>
      </c>
      <c r="E123" s="125">
        <v>2920.0149999999999</v>
      </c>
      <c r="F123" s="125">
        <v>2380.0010000000002</v>
      </c>
      <c r="G123" s="125">
        <v>200.03899999999999</v>
      </c>
      <c r="H123" s="125">
        <v>2305.7199999999998</v>
      </c>
      <c r="J123" s="125">
        <v>11080</v>
      </c>
      <c r="K123" s="126"/>
      <c r="L123" s="125" t="s">
        <v>753</v>
      </c>
      <c r="M123" s="126">
        <v>45250</v>
      </c>
      <c r="W123" s="125">
        <v>0.91800000000000004</v>
      </c>
      <c r="AD123" s="125" t="s">
        <v>277</v>
      </c>
      <c r="AF123" s="125" t="s">
        <v>712</v>
      </c>
      <c r="AG123" s="125" t="s">
        <v>711</v>
      </c>
      <c r="AL123" s="125" t="s">
        <v>708</v>
      </c>
      <c r="AM123" s="126">
        <v>45251</v>
      </c>
      <c r="AP123" s="125">
        <v>2</v>
      </c>
      <c r="AQ123" s="125">
        <v>14.186999999999999</v>
      </c>
      <c r="BA123" s="125" t="s">
        <v>466</v>
      </c>
      <c r="BB123" s="125">
        <v>5284707</v>
      </c>
    </row>
    <row r="124" spans="1:54" x14ac:dyDescent="0.3">
      <c r="A124" s="125" t="s">
        <v>294</v>
      </c>
      <c r="B124" s="125" t="s">
        <v>378</v>
      </c>
      <c r="C124" s="125" t="s">
        <v>57</v>
      </c>
      <c r="D124" s="125">
        <v>2</v>
      </c>
      <c r="E124" s="125">
        <v>3130.0030000000002</v>
      </c>
      <c r="F124" s="125">
        <v>7775.0510000000004</v>
      </c>
      <c r="G124" s="125">
        <v>595.03</v>
      </c>
      <c r="H124" s="125">
        <v>9692.66</v>
      </c>
      <c r="J124" s="125">
        <v>15360</v>
      </c>
      <c r="K124" s="126"/>
      <c r="L124" s="125" t="s">
        <v>348</v>
      </c>
      <c r="M124" s="126">
        <v>45275</v>
      </c>
      <c r="W124" s="125">
        <v>3.8</v>
      </c>
      <c r="AD124" s="125" t="s">
        <v>584</v>
      </c>
      <c r="AF124" s="125" t="s">
        <v>710</v>
      </c>
      <c r="AG124" s="125" t="s">
        <v>707</v>
      </c>
      <c r="AL124" s="125" t="s">
        <v>708</v>
      </c>
      <c r="AM124" s="126">
        <v>45278</v>
      </c>
      <c r="AP124" s="125">
        <v>2</v>
      </c>
      <c r="AQ124" s="125">
        <v>68.846999999999994</v>
      </c>
      <c r="BA124" s="125" t="s">
        <v>650</v>
      </c>
      <c r="BB124" s="125">
        <v>5331499</v>
      </c>
    </row>
    <row r="125" spans="1:54" x14ac:dyDescent="0.3">
      <c r="A125" s="125" t="s">
        <v>294</v>
      </c>
      <c r="B125" s="125" t="s">
        <v>183</v>
      </c>
      <c r="C125" s="125" t="s">
        <v>56</v>
      </c>
      <c r="D125" s="125">
        <v>4</v>
      </c>
      <c r="E125" s="125">
        <v>2920.0070000000001</v>
      </c>
      <c r="F125" s="125">
        <v>2460</v>
      </c>
      <c r="G125" s="125">
        <v>200.00299999999999</v>
      </c>
      <c r="H125" s="125">
        <v>3395.42</v>
      </c>
      <c r="J125" s="125">
        <v>13320</v>
      </c>
      <c r="K125" s="126"/>
      <c r="L125" s="125" t="s">
        <v>753</v>
      </c>
      <c r="M125" s="126">
        <v>45264</v>
      </c>
      <c r="W125" s="125">
        <v>1.3740000000000001</v>
      </c>
      <c r="AD125" s="125" t="s">
        <v>277</v>
      </c>
      <c r="AF125" s="125" t="s">
        <v>710</v>
      </c>
      <c r="AG125" s="125" t="s">
        <v>712</v>
      </c>
      <c r="AL125" s="125" t="s">
        <v>708</v>
      </c>
      <c r="AM125" s="126">
        <v>45265</v>
      </c>
      <c r="AQ125" s="125">
        <v>32.081000000000003</v>
      </c>
      <c r="BA125" s="125" t="s">
        <v>394</v>
      </c>
      <c r="BB125" s="125">
        <v>5284410</v>
      </c>
    </row>
    <row r="126" spans="1:54" x14ac:dyDescent="0.3">
      <c r="A126" s="125" t="s">
        <v>294</v>
      </c>
      <c r="B126" s="125" t="s">
        <v>332</v>
      </c>
      <c r="C126" s="125" t="s">
        <v>57</v>
      </c>
      <c r="D126" s="125">
        <v>2</v>
      </c>
      <c r="E126" s="125">
        <v>3280.0079999999998</v>
      </c>
      <c r="F126" s="125">
        <v>3094.971</v>
      </c>
      <c r="G126" s="125">
        <v>595</v>
      </c>
      <c r="H126" s="125">
        <v>4258.04</v>
      </c>
      <c r="J126" s="125">
        <v>13110</v>
      </c>
      <c r="K126" s="126"/>
      <c r="L126" s="125" t="s">
        <v>349</v>
      </c>
      <c r="M126" s="126">
        <v>45261</v>
      </c>
      <c r="W126" s="125">
        <v>1.679</v>
      </c>
      <c r="AD126" s="125" t="s">
        <v>584</v>
      </c>
      <c r="AF126" s="125" t="s">
        <v>710</v>
      </c>
      <c r="AG126" s="125" t="s">
        <v>712</v>
      </c>
      <c r="AL126" s="125" t="s">
        <v>708</v>
      </c>
      <c r="AM126" s="126">
        <v>45264</v>
      </c>
      <c r="AQ126" s="125">
        <v>25.236000000000001</v>
      </c>
      <c r="BA126" s="125" t="s">
        <v>618</v>
      </c>
      <c r="BB126" s="125">
        <v>5333227</v>
      </c>
    </row>
    <row r="127" spans="1:54" x14ac:dyDescent="0.3">
      <c r="A127" s="125" t="s">
        <v>294</v>
      </c>
      <c r="B127" s="125" t="s">
        <v>216</v>
      </c>
      <c r="C127" s="125" t="s">
        <v>56</v>
      </c>
      <c r="D127" s="125">
        <v>4</v>
      </c>
      <c r="E127" s="125">
        <v>3130.0010000000002</v>
      </c>
      <c r="F127" s="125">
        <v>3341</v>
      </c>
      <c r="G127" s="125">
        <v>200.001</v>
      </c>
      <c r="H127" s="125">
        <v>1910.73</v>
      </c>
      <c r="J127" s="125">
        <v>13420</v>
      </c>
      <c r="K127" s="126"/>
      <c r="L127" s="125" t="s">
        <v>278</v>
      </c>
      <c r="M127" s="126">
        <v>45264</v>
      </c>
      <c r="W127" s="125">
        <v>0.76200000000000001</v>
      </c>
      <c r="AD127" s="125" t="s">
        <v>277</v>
      </c>
      <c r="AF127" s="125" t="s">
        <v>710</v>
      </c>
      <c r="AG127" s="125" t="s">
        <v>712</v>
      </c>
      <c r="AL127" s="125" t="s">
        <v>708</v>
      </c>
      <c r="AM127" s="126">
        <v>45265</v>
      </c>
      <c r="AP127" s="125">
        <v>3</v>
      </c>
      <c r="AQ127" s="125">
        <v>13.866</v>
      </c>
      <c r="BA127" s="125" t="s">
        <v>426</v>
      </c>
      <c r="BB127" s="125">
        <v>5284558</v>
      </c>
    </row>
    <row r="128" spans="1:54" x14ac:dyDescent="0.3">
      <c r="A128" s="125" t="s">
        <v>294</v>
      </c>
      <c r="B128" s="125" t="s">
        <v>257</v>
      </c>
      <c r="C128" s="125" t="s">
        <v>56</v>
      </c>
      <c r="D128" s="125">
        <v>1</v>
      </c>
      <c r="E128" s="125">
        <v>3630.0230000000001</v>
      </c>
      <c r="F128" s="125">
        <v>5660.9970000000003</v>
      </c>
      <c r="G128" s="125">
        <v>400.00599999999997</v>
      </c>
      <c r="H128" s="125">
        <v>9584.59</v>
      </c>
      <c r="J128" s="125">
        <v>14530</v>
      </c>
      <c r="K128" s="126"/>
      <c r="L128" s="125" t="s">
        <v>775</v>
      </c>
      <c r="M128" s="126">
        <v>45271</v>
      </c>
      <c r="W128" s="125">
        <v>3.8980000000000001</v>
      </c>
      <c r="AD128" s="125" t="s">
        <v>277</v>
      </c>
      <c r="AF128" s="125" t="s">
        <v>710</v>
      </c>
      <c r="AG128" s="125" t="s">
        <v>710</v>
      </c>
      <c r="AL128" s="125" t="s">
        <v>708</v>
      </c>
      <c r="AM128" s="126">
        <v>45272</v>
      </c>
      <c r="AP128" s="125">
        <v>1</v>
      </c>
      <c r="AQ128" s="125">
        <v>64.278999999999996</v>
      </c>
      <c r="BA128" s="125" t="s">
        <v>646</v>
      </c>
      <c r="BB128" s="125">
        <v>5332504</v>
      </c>
    </row>
    <row r="129" spans="1:54" x14ac:dyDescent="0.3">
      <c r="A129" s="125" t="s">
        <v>294</v>
      </c>
      <c r="B129" s="125" t="s">
        <v>146</v>
      </c>
      <c r="C129" s="125" t="s">
        <v>56</v>
      </c>
      <c r="D129" s="125">
        <v>4</v>
      </c>
      <c r="E129" s="125">
        <v>2920.0070000000001</v>
      </c>
      <c r="F129" s="125">
        <v>2460</v>
      </c>
      <c r="G129" s="125">
        <v>200.00200000000001</v>
      </c>
      <c r="H129" s="125">
        <v>3385.18</v>
      </c>
      <c r="J129" s="125">
        <v>9920</v>
      </c>
      <c r="K129" s="126"/>
      <c r="L129" s="125" t="s">
        <v>753</v>
      </c>
      <c r="M129" s="126">
        <v>45244</v>
      </c>
      <c r="W129" s="125">
        <v>1.375</v>
      </c>
      <c r="AD129" s="125" t="s">
        <v>277</v>
      </c>
      <c r="AF129" s="125" t="s">
        <v>706</v>
      </c>
      <c r="AG129" s="125" t="s">
        <v>713</v>
      </c>
      <c r="AL129" s="125" t="s">
        <v>708</v>
      </c>
      <c r="AM129" s="126">
        <v>45245</v>
      </c>
      <c r="AQ129" s="125">
        <v>31.152999999999999</v>
      </c>
      <c r="BA129" s="125" t="s">
        <v>479</v>
      </c>
      <c r="BB129" s="125">
        <v>5284771</v>
      </c>
    </row>
    <row r="130" spans="1:54" x14ac:dyDescent="0.3">
      <c r="A130" s="125" t="s">
        <v>294</v>
      </c>
      <c r="B130" s="125" t="s">
        <v>269</v>
      </c>
      <c r="C130" s="125" t="s">
        <v>56</v>
      </c>
      <c r="D130" s="125">
        <v>4</v>
      </c>
      <c r="E130" s="125">
        <v>2920</v>
      </c>
      <c r="F130" s="125">
        <v>2531</v>
      </c>
      <c r="G130" s="125">
        <v>200.001</v>
      </c>
      <c r="H130" s="125">
        <v>3588.59</v>
      </c>
      <c r="J130" s="125">
        <v>11190</v>
      </c>
      <c r="K130" s="126"/>
      <c r="L130" s="125" t="s">
        <v>278</v>
      </c>
      <c r="M130" s="126">
        <v>45250</v>
      </c>
      <c r="W130" s="125">
        <v>1.4670000000000001</v>
      </c>
      <c r="AD130" s="125" t="s">
        <v>277</v>
      </c>
      <c r="AF130" s="125" t="s">
        <v>712</v>
      </c>
      <c r="AG130" s="125" t="s">
        <v>711</v>
      </c>
      <c r="AL130" s="125" t="s">
        <v>708</v>
      </c>
      <c r="AM130" s="126">
        <v>45251</v>
      </c>
      <c r="AQ130" s="125">
        <v>10.656000000000001</v>
      </c>
      <c r="BA130" s="125" t="s">
        <v>468</v>
      </c>
      <c r="BB130" s="125">
        <v>5284711</v>
      </c>
    </row>
    <row r="131" spans="1:54" x14ac:dyDescent="0.3">
      <c r="A131" s="125" t="s">
        <v>294</v>
      </c>
      <c r="B131" s="125" t="s">
        <v>281</v>
      </c>
      <c r="C131" s="125" t="s">
        <v>56</v>
      </c>
      <c r="D131" s="125">
        <v>1</v>
      </c>
      <c r="E131" s="125">
        <v>1160.001</v>
      </c>
      <c r="F131" s="125">
        <v>3146.0160000000001</v>
      </c>
      <c r="G131" s="125">
        <v>140</v>
      </c>
      <c r="H131" s="125">
        <v>1251.25</v>
      </c>
      <c r="J131" s="125">
        <v>16170</v>
      </c>
      <c r="K131" s="126"/>
      <c r="L131" s="125" t="s">
        <v>278</v>
      </c>
      <c r="M131" s="126">
        <v>45289</v>
      </c>
      <c r="W131" s="125">
        <v>0.505</v>
      </c>
      <c r="AD131" s="125" t="s">
        <v>359</v>
      </c>
      <c r="AF131" s="125" t="s">
        <v>710</v>
      </c>
      <c r="AG131" s="125" t="s">
        <v>709</v>
      </c>
      <c r="AL131" s="125" t="s">
        <v>708</v>
      </c>
      <c r="AM131" s="126">
        <v>45287</v>
      </c>
      <c r="AQ131" s="125">
        <v>11.257999999999999</v>
      </c>
      <c r="BA131" s="125" t="s">
        <v>682</v>
      </c>
      <c r="BB131" s="125">
        <v>5327870</v>
      </c>
    </row>
    <row r="132" spans="1:54" x14ac:dyDescent="0.3">
      <c r="A132" s="125" t="s">
        <v>294</v>
      </c>
      <c r="B132" s="125" t="s">
        <v>208</v>
      </c>
      <c r="C132" s="125" t="s">
        <v>56</v>
      </c>
      <c r="D132" s="125">
        <v>3</v>
      </c>
      <c r="E132" s="125">
        <v>3130.0010000000002</v>
      </c>
      <c r="F132" s="125">
        <v>3804.9989999999998</v>
      </c>
      <c r="G132" s="125">
        <v>200.023</v>
      </c>
      <c r="H132" s="125">
        <v>4684.5</v>
      </c>
      <c r="J132" s="125">
        <v>12220</v>
      </c>
      <c r="K132" s="126"/>
      <c r="L132" s="125" t="s">
        <v>753</v>
      </c>
      <c r="M132" s="126">
        <v>45257</v>
      </c>
      <c r="W132" s="125">
        <v>1.9039999999999999</v>
      </c>
      <c r="AD132" s="125" t="s">
        <v>277</v>
      </c>
      <c r="AF132" s="125" t="s">
        <v>712</v>
      </c>
      <c r="AG132" s="125" t="s">
        <v>706</v>
      </c>
      <c r="AL132" s="125" t="s">
        <v>708</v>
      </c>
      <c r="AM132" s="126">
        <v>45258</v>
      </c>
      <c r="AP132" s="125">
        <v>1</v>
      </c>
      <c r="AQ132" s="125">
        <v>21.984000000000002</v>
      </c>
      <c r="BA132" s="125" t="s">
        <v>430</v>
      </c>
      <c r="BB132" s="125">
        <v>5284582</v>
      </c>
    </row>
    <row r="133" spans="1:54" x14ac:dyDescent="0.3">
      <c r="A133" s="125" t="s">
        <v>294</v>
      </c>
      <c r="B133" s="125" t="s">
        <v>221</v>
      </c>
      <c r="C133" s="125" t="s">
        <v>56</v>
      </c>
      <c r="D133" s="125">
        <v>1</v>
      </c>
      <c r="E133" s="125">
        <v>3630.0010000000002</v>
      </c>
      <c r="F133" s="125">
        <v>5481.0010000000002</v>
      </c>
      <c r="G133" s="125">
        <v>200.02500000000001</v>
      </c>
      <c r="H133" s="125">
        <v>8528.31</v>
      </c>
      <c r="J133" s="125">
        <v>14520</v>
      </c>
      <c r="K133" s="126"/>
      <c r="L133" s="125" t="s">
        <v>775</v>
      </c>
      <c r="M133" s="126">
        <v>45271</v>
      </c>
      <c r="W133" s="125">
        <v>3.4769999999999999</v>
      </c>
      <c r="AD133" s="125" t="s">
        <v>277</v>
      </c>
      <c r="AF133" s="125" t="s">
        <v>710</v>
      </c>
      <c r="AG133" s="125" t="s">
        <v>710</v>
      </c>
      <c r="AL133" s="125" t="s">
        <v>708</v>
      </c>
      <c r="AM133" s="126">
        <v>45272</v>
      </c>
      <c r="AQ133" s="125">
        <v>34.097000000000001</v>
      </c>
      <c r="BA133" s="125" t="s">
        <v>634</v>
      </c>
      <c r="BB133" s="125">
        <v>5332469</v>
      </c>
    </row>
    <row r="134" spans="1:54" x14ac:dyDescent="0.3">
      <c r="A134" s="125" t="s">
        <v>294</v>
      </c>
      <c r="B134" s="125" t="s">
        <v>213</v>
      </c>
      <c r="C134" s="125" t="s">
        <v>56</v>
      </c>
      <c r="D134" s="125">
        <v>1</v>
      </c>
      <c r="E134" s="125">
        <v>3420.0070000000001</v>
      </c>
      <c r="F134" s="125">
        <v>4560</v>
      </c>
      <c r="G134" s="125">
        <v>200.04</v>
      </c>
      <c r="H134" s="125">
        <v>7477.23</v>
      </c>
      <c r="J134" s="125">
        <v>14510</v>
      </c>
      <c r="K134" s="126"/>
      <c r="L134" s="125" t="s">
        <v>753</v>
      </c>
      <c r="M134" s="126">
        <v>45271</v>
      </c>
      <c r="W134" s="125">
        <v>3.0470000000000002</v>
      </c>
      <c r="AD134" s="125" t="s">
        <v>277</v>
      </c>
      <c r="AF134" s="125" t="s">
        <v>710</v>
      </c>
      <c r="AG134" s="125" t="s">
        <v>710</v>
      </c>
      <c r="AL134" s="125" t="s">
        <v>708</v>
      </c>
      <c r="AM134" s="126">
        <v>45272</v>
      </c>
      <c r="AQ134" s="125">
        <v>47.234999999999999</v>
      </c>
      <c r="BA134" s="125" t="s">
        <v>636</v>
      </c>
      <c r="BB134" s="125">
        <v>5332476</v>
      </c>
    </row>
    <row r="135" spans="1:54" x14ac:dyDescent="0.3">
      <c r="A135" s="125" t="s">
        <v>294</v>
      </c>
      <c r="B135" s="125" t="s">
        <v>151</v>
      </c>
      <c r="C135" s="125" t="s">
        <v>56</v>
      </c>
      <c r="D135" s="125">
        <v>1</v>
      </c>
      <c r="E135" s="125">
        <v>3630.0149999999999</v>
      </c>
      <c r="F135" s="125">
        <v>2380.0010000000002</v>
      </c>
      <c r="G135" s="125">
        <v>200.04</v>
      </c>
      <c r="H135" s="125">
        <v>2905.54</v>
      </c>
      <c r="J135" s="125">
        <v>14550</v>
      </c>
      <c r="K135" s="126"/>
      <c r="L135" s="125" t="s">
        <v>753</v>
      </c>
      <c r="M135" s="126">
        <v>45271</v>
      </c>
      <c r="W135" s="125">
        <v>1.1619999999999999</v>
      </c>
      <c r="AD135" s="125" t="s">
        <v>277</v>
      </c>
      <c r="AF135" s="125" t="s">
        <v>710</v>
      </c>
      <c r="AG135" s="125" t="s">
        <v>710</v>
      </c>
      <c r="AL135" s="125" t="s">
        <v>708</v>
      </c>
      <c r="AM135" s="126">
        <v>45272</v>
      </c>
      <c r="AP135" s="125">
        <v>2</v>
      </c>
      <c r="AQ135" s="125">
        <v>18.36</v>
      </c>
      <c r="BA135" s="125" t="s">
        <v>637</v>
      </c>
      <c r="BB135" s="125">
        <v>5332477</v>
      </c>
    </row>
    <row r="136" spans="1:54" x14ac:dyDescent="0.3">
      <c r="A136" s="125" t="s">
        <v>294</v>
      </c>
      <c r="B136" s="125" t="s">
        <v>204</v>
      </c>
      <c r="C136" s="125" t="s">
        <v>56</v>
      </c>
      <c r="D136" s="125">
        <v>4</v>
      </c>
      <c r="E136" s="125">
        <v>3130.0010000000002</v>
      </c>
      <c r="F136" s="125">
        <v>2302</v>
      </c>
      <c r="G136" s="125">
        <v>200.00200000000001</v>
      </c>
      <c r="H136" s="125">
        <v>3472.23</v>
      </c>
      <c r="J136" s="125">
        <v>12190</v>
      </c>
      <c r="K136" s="126"/>
      <c r="L136" s="125" t="s">
        <v>278</v>
      </c>
      <c r="M136" s="126">
        <v>45257</v>
      </c>
      <c r="W136" s="125">
        <v>1.417</v>
      </c>
      <c r="AD136" s="125" t="s">
        <v>277</v>
      </c>
      <c r="AF136" s="125" t="s">
        <v>712</v>
      </c>
      <c r="AG136" s="125" t="s">
        <v>706</v>
      </c>
      <c r="AL136" s="125" t="s">
        <v>708</v>
      </c>
      <c r="AM136" s="126">
        <v>45258</v>
      </c>
      <c r="AQ136" s="125">
        <v>13.683999999999999</v>
      </c>
      <c r="BA136" s="125" t="s">
        <v>462</v>
      </c>
      <c r="BB136" s="125">
        <v>5284691</v>
      </c>
    </row>
    <row r="137" spans="1:54" x14ac:dyDescent="0.3">
      <c r="A137" s="125" t="s">
        <v>294</v>
      </c>
      <c r="B137" s="125" t="s">
        <v>146</v>
      </c>
      <c r="C137" s="125" t="s">
        <v>56</v>
      </c>
      <c r="D137" s="125">
        <v>4</v>
      </c>
      <c r="E137" s="125">
        <v>2920.0070000000001</v>
      </c>
      <c r="F137" s="125">
        <v>2460</v>
      </c>
      <c r="G137" s="125">
        <v>200.00200000000001</v>
      </c>
      <c r="H137" s="125">
        <v>3385.18</v>
      </c>
      <c r="J137" s="125">
        <v>13270</v>
      </c>
      <c r="K137" s="126"/>
      <c r="L137" s="125" t="s">
        <v>753</v>
      </c>
      <c r="M137" s="126">
        <v>45264</v>
      </c>
      <c r="W137" s="125">
        <v>1.375</v>
      </c>
      <c r="AD137" s="125" t="s">
        <v>277</v>
      </c>
      <c r="AF137" s="125" t="s">
        <v>710</v>
      </c>
      <c r="AG137" s="125" t="s">
        <v>712</v>
      </c>
      <c r="AL137" s="125" t="s">
        <v>708</v>
      </c>
      <c r="AM137" s="126">
        <v>45265</v>
      </c>
      <c r="AQ137" s="125">
        <v>31.152999999999999</v>
      </c>
      <c r="BA137" s="125" t="s">
        <v>487</v>
      </c>
      <c r="BB137" s="125">
        <v>5284804</v>
      </c>
    </row>
    <row r="138" spans="1:54" x14ac:dyDescent="0.3">
      <c r="A138" s="125" t="s">
        <v>294</v>
      </c>
      <c r="B138" s="125" t="s">
        <v>384</v>
      </c>
      <c r="C138" s="125" t="s">
        <v>57</v>
      </c>
      <c r="D138" s="125">
        <v>2</v>
      </c>
      <c r="E138" s="125">
        <v>3280.01</v>
      </c>
      <c r="F138" s="125">
        <v>4679.9870000000001</v>
      </c>
      <c r="G138" s="125">
        <v>595.01099999999997</v>
      </c>
      <c r="H138" s="125">
        <v>5558.09</v>
      </c>
      <c r="J138" s="125">
        <v>13090</v>
      </c>
      <c r="K138" s="126">
        <v>45149</v>
      </c>
      <c r="L138" s="125" t="s">
        <v>349</v>
      </c>
      <c r="M138" s="126">
        <v>45261</v>
      </c>
      <c r="W138" s="125">
        <v>2.1720000000000002</v>
      </c>
      <c r="AD138" s="125" t="s">
        <v>584</v>
      </c>
      <c r="AF138" s="125" t="s">
        <v>710</v>
      </c>
      <c r="AG138" s="125" t="s">
        <v>712</v>
      </c>
      <c r="AL138" s="125" t="s">
        <v>708</v>
      </c>
      <c r="AM138" s="126">
        <v>45264</v>
      </c>
      <c r="AP138" s="125">
        <v>1</v>
      </c>
      <c r="AQ138" s="125">
        <v>22.518999999999998</v>
      </c>
      <c r="BA138" s="125" t="s">
        <v>552</v>
      </c>
      <c r="BB138" s="125">
        <v>5316428</v>
      </c>
    </row>
    <row r="139" spans="1:54" x14ac:dyDescent="0.3">
      <c r="A139" s="125" t="s">
        <v>294</v>
      </c>
      <c r="B139" s="125" t="s">
        <v>214</v>
      </c>
      <c r="C139" s="125" t="s">
        <v>56</v>
      </c>
      <c r="D139" s="125">
        <v>1</v>
      </c>
      <c r="E139" s="125">
        <v>3130.0070000000001</v>
      </c>
      <c r="F139" s="125">
        <v>5980</v>
      </c>
      <c r="G139" s="125">
        <v>200.03700000000001</v>
      </c>
      <c r="H139" s="125">
        <v>7584.25</v>
      </c>
      <c r="J139" s="125">
        <v>15430</v>
      </c>
      <c r="K139" s="126"/>
      <c r="L139" s="125" t="s">
        <v>753</v>
      </c>
      <c r="M139" s="126">
        <v>45275</v>
      </c>
      <c r="W139" s="125">
        <v>3.097</v>
      </c>
      <c r="AD139" s="125" t="s">
        <v>277</v>
      </c>
      <c r="AF139" s="125" t="s">
        <v>710</v>
      </c>
      <c r="AG139" s="125" t="s">
        <v>707</v>
      </c>
      <c r="AL139" s="125" t="s">
        <v>708</v>
      </c>
      <c r="AM139" s="126">
        <v>45278</v>
      </c>
      <c r="AP139" s="125">
        <v>1</v>
      </c>
      <c r="AQ139" s="125">
        <v>17.045999999999999</v>
      </c>
      <c r="BA139" s="125" t="s">
        <v>662</v>
      </c>
      <c r="BB139" s="125">
        <v>5332503</v>
      </c>
    </row>
    <row r="140" spans="1:54" x14ac:dyDescent="0.3">
      <c r="A140" s="125" t="s">
        <v>294</v>
      </c>
      <c r="B140" s="125" t="s">
        <v>333</v>
      </c>
      <c r="C140" s="125" t="s">
        <v>57</v>
      </c>
      <c r="D140" s="125">
        <v>1</v>
      </c>
      <c r="E140" s="125">
        <v>3130.009</v>
      </c>
      <c r="F140" s="125">
        <v>6160.0020000000004</v>
      </c>
      <c r="G140" s="125">
        <v>595.01700000000005</v>
      </c>
      <c r="H140" s="125">
        <v>9653.2099999999991</v>
      </c>
      <c r="J140" s="125">
        <v>14340</v>
      </c>
      <c r="K140" s="126"/>
      <c r="L140" s="125" t="s">
        <v>349</v>
      </c>
      <c r="M140" s="126">
        <v>45268</v>
      </c>
      <c r="W140" s="125">
        <v>3.8290000000000002</v>
      </c>
      <c r="AD140" s="125" t="s">
        <v>584</v>
      </c>
      <c r="AF140" s="125" t="s">
        <v>710</v>
      </c>
      <c r="AG140" s="125" t="s">
        <v>710</v>
      </c>
      <c r="AL140" s="125" t="s">
        <v>708</v>
      </c>
      <c r="AM140" s="126">
        <v>45271</v>
      </c>
      <c r="AP140" s="125">
        <v>1</v>
      </c>
      <c r="AQ140" s="125">
        <v>65.617999999999995</v>
      </c>
      <c r="BA140" s="125" t="s">
        <v>626</v>
      </c>
      <c r="BB140" s="125">
        <v>5331524</v>
      </c>
    </row>
    <row r="141" spans="1:54" x14ac:dyDescent="0.3">
      <c r="A141" s="125" t="s">
        <v>294</v>
      </c>
      <c r="B141" s="125" t="s">
        <v>211</v>
      </c>
      <c r="C141" s="125" t="s">
        <v>56</v>
      </c>
      <c r="D141" s="125">
        <v>4</v>
      </c>
      <c r="E141" s="125">
        <v>3130</v>
      </c>
      <c r="F141" s="125">
        <v>1560</v>
      </c>
      <c r="G141" s="125">
        <v>200</v>
      </c>
      <c r="H141" s="125">
        <v>2369.6799999999998</v>
      </c>
      <c r="J141" s="125">
        <v>11220</v>
      </c>
      <c r="K141" s="126"/>
      <c r="L141" s="125" t="s">
        <v>753</v>
      </c>
      <c r="M141" s="126">
        <v>45250</v>
      </c>
      <c r="W141" s="125">
        <v>0.96899999999999997</v>
      </c>
      <c r="AD141" s="125" t="s">
        <v>277</v>
      </c>
      <c r="AF141" s="125" t="s">
        <v>712</v>
      </c>
      <c r="AG141" s="125" t="s">
        <v>711</v>
      </c>
      <c r="AL141" s="125" t="s">
        <v>708</v>
      </c>
      <c r="AM141" s="126">
        <v>45251</v>
      </c>
      <c r="AQ141" s="125">
        <v>5.7160000000000002</v>
      </c>
      <c r="BA141" s="125" t="s">
        <v>431</v>
      </c>
      <c r="BB141" s="125">
        <v>5284584</v>
      </c>
    </row>
    <row r="142" spans="1:54" x14ac:dyDescent="0.3">
      <c r="A142" s="125" t="s">
        <v>294</v>
      </c>
      <c r="B142" s="125" t="s">
        <v>224</v>
      </c>
      <c r="C142" s="125" t="s">
        <v>56</v>
      </c>
      <c r="D142" s="125">
        <v>4</v>
      </c>
      <c r="E142" s="125">
        <v>2920.0070000000001</v>
      </c>
      <c r="F142" s="125">
        <v>3845</v>
      </c>
      <c r="G142" s="125">
        <v>200.00299999999999</v>
      </c>
      <c r="H142" s="125">
        <v>5406.34</v>
      </c>
      <c r="J142" s="125">
        <v>9970</v>
      </c>
      <c r="K142" s="126"/>
      <c r="L142" s="125" t="s">
        <v>753</v>
      </c>
      <c r="M142" s="126">
        <v>45244</v>
      </c>
      <c r="W142" s="125">
        <v>2.202</v>
      </c>
      <c r="AD142" s="125" t="s">
        <v>277</v>
      </c>
      <c r="AF142" s="125" t="s">
        <v>706</v>
      </c>
      <c r="AG142" s="125" t="s">
        <v>713</v>
      </c>
      <c r="AL142" s="125" t="s">
        <v>708</v>
      </c>
      <c r="AM142" s="126">
        <v>45245</v>
      </c>
      <c r="AQ142" s="125">
        <v>30.431000000000001</v>
      </c>
      <c r="BA142" s="125" t="s">
        <v>434</v>
      </c>
      <c r="BB142" s="125">
        <v>5284597</v>
      </c>
    </row>
    <row r="143" spans="1:54" x14ac:dyDescent="0.3">
      <c r="A143" s="125" t="s">
        <v>294</v>
      </c>
      <c r="B143" s="125" t="s">
        <v>352</v>
      </c>
      <c r="C143" s="125" t="s">
        <v>57</v>
      </c>
      <c r="D143" s="125">
        <v>2</v>
      </c>
      <c r="E143" s="125">
        <v>3280.0210000000002</v>
      </c>
      <c r="F143" s="125">
        <v>7260.0039999999999</v>
      </c>
      <c r="G143" s="125">
        <v>595.01099999999997</v>
      </c>
      <c r="H143" s="125">
        <v>11182.31</v>
      </c>
      <c r="J143" s="125">
        <v>11960</v>
      </c>
      <c r="K143" s="126"/>
      <c r="L143" s="125" t="s">
        <v>348</v>
      </c>
      <c r="M143" s="126">
        <v>45254</v>
      </c>
      <c r="W143" s="125">
        <v>4.4109999999999996</v>
      </c>
      <c r="AD143" s="125" t="s">
        <v>584</v>
      </c>
      <c r="AF143" s="125" t="s">
        <v>712</v>
      </c>
      <c r="AG143" s="125" t="s">
        <v>706</v>
      </c>
      <c r="AL143" s="125" t="s">
        <v>708</v>
      </c>
      <c r="AM143" s="126">
        <v>45257</v>
      </c>
      <c r="AP143" s="125">
        <v>2</v>
      </c>
      <c r="AQ143" s="125">
        <v>31.504999999999999</v>
      </c>
      <c r="BA143" s="125" t="s">
        <v>566</v>
      </c>
      <c r="BB143" s="125">
        <v>5316463</v>
      </c>
    </row>
    <row r="144" spans="1:54" x14ac:dyDescent="0.3">
      <c r="A144" s="125" t="s">
        <v>294</v>
      </c>
      <c r="B144" s="125" t="s">
        <v>194</v>
      </c>
      <c r="C144" s="125" t="s">
        <v>56</v>
      </c>
      <c r="D144" s="125">
        <v>1</v>
      </c>
      <c r="E144" s="125">
        <v>3630</v>
      </c>
      <c r="F144" s="125">
        <v>2531</v>
      </c>
      <c r="G144" s="125">
        <v>200</v>
      </c>
      <c r="H144" s="125">
        <v>4460.0600000000004</v>
      </c>
      <c r="J144" s="125">
        <v>14580</v>
      </c>
      <c r="K144" s="126"/>
      <c r="L144" s="125" t="s">
        <v>278</v>
      </c>
      <c r="M144" s="126">
        <v>45271</v>
      </c>
      <c r="W144" s="125">
        <v>1.8240000000000001</v>
      </c>
      <c r="AD144" s="125" t="s">
        <v>277</v>
      </c>
      <c r="AF144" s="125" t="s">
        <v>710</v>
      </c>
      <c r="AG144" s="125" t="s">
        <v>710</v>
      </c>
      <c r="AL144" s="125" t="s">
        <v>708</v>
      </c>
      <c r="AM144" s="126">
        <v>45272</v>
      </c>
      <c r="AQ144" s="125">
        <v>10.656000000000001</v>
      </c>
      <c r="BA144" s="125" t="s">
        <v>503</v>
      </c>
      <c r="BB144" s="125">
        <v>5310394</v>
      </c>
    </row>
    <row r="145" spans="1:54" x14ac:dyDescent="0.3">
      <c r="A145" s="125" t="s">
        <v>294</v>
      </c>
      <c r="B145" s="125" t="s">
        <v>507</v>
      </c>
      <c r="C145" s="125" t="s">
        <v>57</v>
      </c>
      <c r="D145" s="125">
        <v>1</v>
      </c>
      <c r="E145" s="125">
        <v>3270.0070000000001</v>
      </c>
      <c r="F145" s="125">
        <v>6410.0159999999996</v>
      </c>
      <c r="G145" s="125">
        <v>595.00099999999998</v>
      </c>
      <c r="H145" s="125">
        <v>7670.27</v>
      </c>
      <c r="J145" s="125">
        <v>8670</v>
      </c>
      <c r="K145" s="126"/>
      <c r="L145" s="125" t="s">
        <v>349</v>
      </c>
      <c r="M145" s="126">
        <v>45236</v>
      </c>
      <c r="W145" s="125">
        <v>2.98</v>
      </c>
      <c r="AD145" s="125" t="s">
        <v>584</v>
      </c>
      <c r="AF145" s="125" t="s">
        <v>706</v>
      </c>
      <c r="AG145" s="125" t="s">
        <v>755</v>
      </c>
      <c r="AL145" s="125" t="s">
        <v>708</v>
      </c>
      <c r="AM145" s="126">
        <v>45237</v>
      </c>
      <c r="AP145" s="125">
        <v>2</v>
      </c>
      <c r="AQ145" s="125">
        <v>33.042000000000002</v>
      </c>
      <c r="BA145" s="125" t="s">
        <v>506</v>
      </c>
      <c r="BB145" s="125">
        <v>5312158</v>
      </c>
    </row>
    <row r="146" spans="1:54" x14ac:dyDescent="0.3">
      <c r="A146" s="125" t="s">
        <v>294</v>
      </c>
      <c r="B146" s="125" t="s">
        <v>334</v>
      </c>
      <c r="C146" s="125" t="s">
        <v>57</v>
      </c>
      <c r="D146" s="125">
        <v>2</v>
      </c>
      <c r="E146" s="125">
        <v>3130.0210000000002</v>
      </c>
      <c r="F146" s="125">
        <v>6030.0010000000002</v>
      </c>
      <c r="G146" s="125">
        <v>595</v>
      </c>
      <c r="H146" s="125">
        <v>8031.53</v>
      </c>
      <c r="J146" s="125">
        <v>7070</v>
      </c>
      <c r="K146" s="126"/>
      <c r="L146" s="125" t="s">
        <v>349</v>
      </c>
      <c r="M146" s="126">
        <v>45219</v>
      </c>
      <c r="W146" s="125">
        <v>3.165</v>
      </c>
      <c r="AD146" s="125" t="s">
        <v>584</v>
      </c>
      <c r="AF146" s="125" t="s">
        <v>711</v>
      </c>
      <c r="AG146" s="125" t="s">
        <v>707</v>
      </c>
      <c r="AL146" s="125" t="s">
        <v>708</v>
      </c>
      <c r="AM146" s="126">
        <v>45222</v>
      </c>
      <c r="AP146" s="125">
        <v>2</v>
      </c>
      <c r="AQ146" s="125">
        <v>70.453999999999994</v>
      </c>
      <c r="BA146" s="125" t="s">
        <v>361</v>
      </c>
      <c r="BB146" s="125">
        <v>5161556</v>
      </c>
    </row>
    <row r="147" spans="1:54" x14ac:dyDescent="0.3">
      <c r="A147" s="125" t="s">
        <v>294</v>
      </c>
      <c r="B147" s="125" t="s">
        <v>371</v>
      </c>
      <c r="C147" s="125" t="s">
        <v>56</v>
      </c>
      <c r="D147" s="125">
        <v>2</v>
      </c>
      <c r="E147" s="125">
        <v>1160</v>
      </c>
      <c r="F147" s="125">
        <v>7775.9859999999999</v>
      </c>
      <c r="G147" s="125">
        <v>140</v>
      </c>
      <c r="H147" s="125">
        <v>3112.07</v>
      </c>
      <c r="J147" s="125">
        <v>16180</v>
      </c>
      <c r="K147" s="126"/>
      <c r="L147" s="125" t="s">
        <v>278</v>
      </c>
      <c r="M147" s="126">
        <v>45290</v>
      </c>
      <c r="W147" s="125">
        <v>1.2569999999999999</v>
      </c>
      <c r="AD147" s="125" t="s">
        <v>359</v>
      </c>
      <c r="AF147" s="125" t="s">
        <v>710</v>
      </c>
      <c r="AG147" s="125" t="s">
        <v>709</v>
      </c>
      <c r="AL147" s="125" t="s">
        <v>708</v>
      </c>
      <c r="AM147" s="126">
        <v>45287</v>
      </c>
      <c r="AQ147" s="125">
        <v>29.251999999999999</v>
      </c>
      <c r="BA147" s="125" t="s">
        <v>688</v>
      </c>
      <c r="BB147" s="125">
        <v>5327879</v>
      </c>
    </row>
    <row r="148" spans="1:54" x14ac:dyDescent="0.3">
      <c r="A148" s="125" t="s">
        <v>294</v>
      </c>
      <c r="B148" s="125" t="s">
        <v>183</v>
      </c>
      <c r="C148" s="125" t="s">
        <v>56</v>
      </c>
      <c r="D148" s="125">
        <v>4</v>
      </c>
      <c r="E148" s="125">
        <v>2920.0070000000001</v>
      </c>
      <c r="F148" s="125">
        <v>2460</v>
      </c>
      <c r="G148" s="125">
        <v>200.00299999999999</v>
      </c>
      <c r="H148" s="125">
        <v>3395.42</v>
      </c>
      <c r="J148" s="125">
        <v>11070</v>
      </c>
      <c r="K148" s="126"/>
      <c r="L148" s="125" t="s">
        <v>753</v>
      </c>
      <c r="M148" s="126">
        <v>45250</v>
      </c>
      <c r="W148" s="125">
        <v>1.3740000000000001</v>
      </c>
      <c r="AD148" s="125" t="s">
        <v>277</v>
      </c>
      <c r="AF148" s="125" t="s">
        <v>712</v>
      </c>
      <c r="AG148" s="125" t="s">
        <v>711</v>
      </c>
      <c r="AL148" s="125" t="s">
        <v>708</v>
      </c>
      <c r="AM148" s="126">
        <v>45251</v>
      </c>
      <c r="AQ148" s="125">
        <v>32.081000000000003</v>
      </c>
      <c r="BA148" s="125" t="s">
        <v>471</v>
      </c>
      <c r="BB148" s="125">
        <v>5284725</v>
      </c>
    </row>
    <row r="149" spans="1:54" x14ac:dyDescent="0.3">
      <c r="A149" s="125" t="s">
        <v>294</v>
      </c>
      <c r="B149" s="125" t="s">
        <v>492</v>
      </c>
      <c r="C149" s="125" t="s">
        <v>57</v>
      </c>
      <c r="D149" s="125">
        <v>1</v>
      </c>
      <c r="E149" s="125">
        <v>3780.0070000000001</v>
      </c>
      <c r="F149" s="125">
        <v>2239.9989999999998</v>
      </c>
      <c r="G149" s="125">
        <v>545.00699999999995</v>
      </c>
      <c r="H149" s="125">
        <v>3984.46</v>
      </c>
      <c r="J149" s="125">
        <v>14260</v>
      </c>
      <c r="K149" s="126"/>
      <c r="L149" s="125" t="s">
        <v>349</v>
      </c>
      <c r="M149" s="126">
        <v>45268</v>
      </c>
      <c r="W149" s="125">
        <v>1.577</v>
      </c>
      <c r="AD149" s="125" t="s">
        <v>584</v>
      </c>
      <c r="AF149" s="125" t="s">
        <v>710</v>
      </c>
      <c r="AG149" s="125" t="s">
        <v>710</v>
      </c>
      <c r="AL149" s="125" t="s">
        <v>708</v>
      </c>
      <c r="AM149" s="126">
        <v>45271</v>
      </c>
      <c r="AQ149" s="125">
        <v>27.538</v>
      </c>
      <c r="BA149" s="125" t="s">
        <v>622</v>
      </c>
      <c r="BB149" s="125">
        <v>5331510</v>
      </c>
    </row>
    <row r="150" spans="1:54" x14ac:dyDescent="0.3">
      <c r="A150" s="125" t="s">
        <v>294</v>
      </c>
      <c r="B150" s="125" t="s">
        <v>187</v>
      </c>
      <c r="C150" s="125" t="s">
        <v>56</v>
      </c>
      <c r="D150" s="125">
        <v>4</v>
      </c>
      <c r="E150" s="125">
        <v>2920.0070000000001</v>
      </c>
      <c r="F150" s="125">
        <v>4145</v>
      </c>
      <c r="G150" s="125">
        <v>200.00299999999999</v>
      </c>
      <c r="H150" s="125">
        <v>5884.73</v>
      </c>
      <c r="J150" s="125">
        <v>13350</v>
      </c>
      <c r="K150" s="126"/>
      <c r="L150" s="125" t="s">
        <v>753</v>
      </c>
      <c r="M150" s="126">
        <v>45264</v>
      </c>
      <c r="W150" s="125">
        <v>2.4060000000000001</v>
      </c>
      <c r="AD150" s="125" t="s">
        <v>277</v>
      </c>
      <c r="AF150" s="125" t="s">
        <v>710</v>
      </c>
      <c r="AG150" s="125" t="s">
        <v>712</v>
      </c>
      <c r="AL150" s="125" t="s">
        <v>708</v>
      </c>
      <c r="AM150" s="126">
        <v>45265</v>
      </c>
      <c r="AQ150" s="125">
        <v>16.251000000000001</v>
      </c>
      <c r="BA150" s="125" t="s">
        <v>395</v>
      </c>
      <c r="BB150" s="125">
        <v>5284425</v>
      </c>
    </row>
    <row r="151" spans="1:54" x14ac:dyDescent="0.3">
      <c r="A151" s="125" t="s">
        <v>294</v>
      </c>
      <c r="B151" s="125" t="s">
        <v>344</v>
      </c>
      <c r="C151" s="125" t="s">
        <v>57</v>
      </c>
      <c r="D151" s="125">
        <v>2</v>
      </c>
      <c r="E151" s="125">
        <v>3130.0210000000002</v>
      </c>
      <c r="F151" s="125">
        <v>7134.9970000000003</v>
      </c>
      <c r="G151" s="125">
        <v>595</v>
      </c>
      <c r="H151" s="125">
        <v>8693.52</v>
      </c>
      <c r="J151" s="125">
        <v>7080</v>
      </c>
      <c r="K151" s="126"/>
      <c r="L151" s="125" t="s">
        <v>348</v>
      </c>
      <c r="M151" s="126">
        <v>45219</v>
      </c>
      <c r="W151" s="125">
        <v>3.4329999999999998</v>
      </c>
      <c r="AD151" s="125" t="s">
        <v>584</v>
      </c>
      <c r="AF151" s="125" t="s">
        <v>711</v>
      </c>
      <c r="AG151" s="125" t="s">
        <v>707</v>
      </c>
      <c r="AL151" s="125" t="s">
        <v>280</v>
      </c>
      <c r="AM151" s="126">
        <v>45222</v>
      </c>
      <c r="AP151" s="125">
        <v>2</v>
      </c>
      <c r="AQ151" s="125">
        <v>56.485999999999997</v>
      </c>
      <c r="BA151" s="125" t="s">
        <v>357</v>
      </c>
      <c r="BB151" s="125">
        <v>5161526</v>
      </c>
    </row>
    <row r="152" spans="1:54" x14ac:dyDescent="0.3">
      <c r="A152" s="125" t="s">
        <v>294</v>
      </c>
      <c r="B152" s="125" t="s">
        <v>207</v>
      </c>
      <c r="C152" s="125" t="s">
        <v>56</v>
      </c>
      <c r="D152" s="125">
        <v>1</v>
      </c>
      <c r="E152" s="125">
        <v>3420.0070000000001</v>
      </c>
      <c r="F152" s="125">
        <v>3845</v>
      </c>
      <c r="G152" s="125">
        <v>200.00299999999999</v>
      </c>
      <c r="H152" s="125">
        <v>6344.49</v>
      </c>
      <c r="J152" s="125">
        <v>6170</v>
      </c>
      <c r="K152" s="126">
        <v>45159</v>
      </c>
      <c r="L152" s="125" t="s">
        <v>753</v>
      </c>
      <c r="M152" s="126">
        <v>45215</v>
      </c>
      <c r="W152" s="125">
        <v>2.5840000000000001</v>
      </c>
      <c r="AD152" s="125" t="s">
        <v>277</v>
      </c>
      <c r="AF152" s="125" t="s">
        <v>711</v>
      </c>
      <c r="AG152" s="125" t="s">
        <v>710</v>
      </c>
      <c r="AL152" s="125" t="s">
        <v>708</v>
      </c>
      <c r="AM152" s="126">
        <v>45216</v>
      </c>
      <c r="AQ152" s="125">
        <v>36.18</v>
      </c>
      <c r="BA152" s="125" t="s">
        <v>764</v>
      </c>
      <c r="BB152" s="125">
        <v>5287952</v>
      </c>
    </row>
    <row r="153" spans="1:54" x14ac:dyDescent="0.3">
      <c r="A153" s="125" t="s">
        <v>294</v>
      </c>
      <c r="B153" s="125" t="s">
        <v>212</v>
      </c>
      <c r="C153" s="125" t="s">
        <v>56</v>
      </c>
      <c r="D153" s="125">
        <v>4</v>
      </c>
      <c r="E153" s="125">
        <v>3130</v>
      </c>
      <c r="F153" s="125">
        <v>1560</v>
      </c>
      <c r="G153" s="125">
        <v>200</v>
      </c>
      <c r="H153" s="125">
        <v>2369.6799999999998</v>
      </c>
      <c r="J153" s="125">
        <v>10080</v>
      </c>
      <c r="K153" s="126"/>
      <c r="L153" s="125" t="s">
        <v>753</v>
      </c>
      <c r="M153" s="126">
        <v>45244</v>
      </c>
      <c r="W153" s="125">
        <v>0.96899999999999997</v>
      </c>
      <c r="AD153" s="125" t="s">
        <v>277</v>
      </c>
      <c r="AF153" s="125" t="s">
        <v>706</v>
      </c>
      <c r="AG153" s="125" t="s">
        <v>713</v>
      </c>
      <c r="AL153" s="125" t="s">
        <v>708</v>
      </c>
      <c r="AM153" s="126">
        <v>45245</v>
      </c>
      <c r="AQ153" s="125">
        <v>5.7160000000000002</v>
      </c>
      <c r="BA153" s="125" t="s">
        <v>393</v>
      </c>
      <c r="BB153" s="125">
        <v>5284408</v>
      </c>
    </row>
    <row r="154" spans="1:54" x14ac:dyDescent="0.3">
      <c r="A154" s="125" t="s">
        <v>294</v>
      </c>
      <c r="B154" s="125" t="s">
        <v>287</v>
      </c>
      <c r="C154" s="125" t="s">
        <v>56</v>
      </c>
      <c r="D154" s="125">
        <v>2</v>
      </c>
      <c r="E154" s="125">
        <v>1160</v>
      </c>
      <c r="F154" s="125">
        <v>6575</v>
      </c>
      <c r="G154" s="125">
        <v>140</v>
      </c>
      <c r="H154" s="125">
        <v>2622.99</v>
      </c>
      <c r="J154" s="125">
        <v>7900</v>
      </c>
      <c r="K154" s="126">
        <v>45167</v>
      </c>
      <c r="L154" s="125" t="s">
        <v>753</v>
      </c>
      <c r="M154" s="126">
        <v>45226</v>
      </c>
      <c r="W154" s="125">
        <v>1.0609999999999999</v>
      </c>
      <c r="AD154" s="125" t="s">
        <v>359</v>
      </c>
      <c r="AF154" s="125" t="s">
        <v>711</v>
      </c>
      <c r="AG154" s="125" t="s">
        <v>709</v>
      </c>
      <c r="AL154" s="125" t="s">
        <v>708</v>
      </c>
      <c r="AM154" s="126">
        <v>45229</v>
      </c>
      <c r="AQ154" s="125">
        <v>22.06</v>
      </c>
      <c r="BA154" s="125" t="s">
        <v>386</v>
      </c>
      <c r="BB154" s="125">
        <v>5161365</v>
      </c>
    </row>
    <row r="155" spans="1:54" x14ac:dyDescent="0.3">
      <c r="A155" s="125" t="s">
        <v>294</v>
      </c>
      <c r="B155" s="125" t="s">
        <v>141</v>
      </c>
      <c r="C155" s="125" t="s">
        <v>56</v>
      </c>
      <c r="D155" s="125">
        <v>1</v>
      </c>
      <c r="E155" s="125">
        <v>3400.0010000000002</v>
      </c>
      <c r="F155" s="125">
        <v>2081</v>
      </c>
      <c r="G155" s="125">
        <v>200.00200000000001</v>
      </c>
      <c r="H155" s="125">
        <v>3442.29</v>
      </c>
      <c r="J155" s="125">
        <v>6280</v>
      </c>
      <c r="K155" s="126">
        <v>45159</v>
      </c>
      <c r="L155" s="125" t="s">
        <v>278</v>
      </c>
      <c r="M155" s="126">
        <v>45215</v>
      </c>
      <c r="W155" s="125">
        <v>1.4059999999999999</v>
      </c>
      <c r="AD155" s="125" t="s">
        <v>277</v>
      </c>
      <c r="AF155" s="125" t="s">
        <v>711</v>
      </c>
      <c r="AG155" s="125" t="s">
        <v>710</v>
      </c>
      <c r="AL155" s="125" t="s">
        <v>708</v>
      </c>
      <c r="AM155" s="126">
        <v>45216</v>
      </c>
      <c r="AQ155" s="125">
        <v>10.102</v>
      </c>
      <c r="BA155" s="125" t="s">
        <v>763</v>
      </c>
      <c r="BB155" s="125">
        <v>5287946</v>
      </c>
    </row>
    <row r="156" spans="1:54" x14ac:dyDescent="0.3">
      <c r="A156" s="125" t="s">
        <v>294</v>
      </c>
      <c r="B156" s="125" t="s">
        <v>206</v>
      </c>
      <c r="C156" s="125" t="s">
        <v>56</v>
      </c>
      <c r="D156" s="125">
        <v>1</v>
      </c>
      <c r="E156" s="125">
        <v>3630.0010000000002</v>
      </c>
      <c r="F156" s="125">
        <v>3804.9989999999998</v>
      </c>
      <c r="G156" s="125">
        <v>200.023</v>
      </c>
      <c r="H156" s="125">
        <v>5603.15</v>
      </c>
      <c r="J156" s="125">
        <v>14470</v>
      </c>
      <c r="K156" s="126"/>
      <c r="L156" s="125" t="s">
        <v>754</v>
      </c>
      <c r="M156" s="126">
        <v>45271</v>
      </c>
      <c r="W156" s="125">
        <v>2.282</v>
      </c>
      <c r="AD156" s="125" t="s">
        <v>277</v>
      </c>
      <c r="AF156" s="125" t="s">
        <v>710</v>
      </c>
      <c r="AG156" s="125" t="s">
        <v>710</v>
      </c>
      <c r="AL156" s="125" t="s">
        <v>708</v>
      </c>
      <c r="AM156" s="126">
        <v>45272</v>
      </c>
      <c r="AP156" s="125">
        <v>1</v>
      </c>
      <c r="AQ156" s="125">
        <v>22.54</v>
      </c>
      <c r="BA156" s="125" t="s">
        <v>640</v>
      </c>
      <c r="BB156" s="125">
        <v>5332491</v>
      </c>
    </row>
    <row r="157" spans="1:54" x14ac:dyDescent="0.3">
      <c r="A157" s="125" t="s">
        <v>294</v>
      </c>
      <c r="B157" s="125" t="s">
        <v>155</v>
      </c>
      <c r="C157" s="125" t="s">
        <v>56</v>
      </c>
      <c r="D157" s="125">
        <v>4</v>
      </c>
      <c r="E157" s="125">
        <v>2920.0059999999999</v>
      </c>
      <c r="F157" s="125">
        <v>1781</v>
      </c>
      <c r="G157" s="125">
        <v>200.00399999999999</v>
      </c>
      <c r="H157" s="125">
        <v>2529.29</v>
      </c>
      <c r="J157" s="125">
        <v>11090</v>
      </c>
      <c r="K157" s="126"/>
      <c r="L157" s="125" t="s">
        <v>278</v>
      </c>
      <c r="M157" s="126">
        <v>45250</v>
      </c>
      <c r="W157" s="125">
        <v>1.0329999999999999</v>
      </c>
      <c r="AD157" s="125" t="s">
        <v>277</v>
      </c>
      <c r="AF157" s="125" t="s">
        <v>712</v>
      </c>
      <c r="AG157" s="125" t="s">
        <v>711</v>
      </c>
      <c r="AL157" s="125" t="s">
        <v>708</v>
      </c>
      <c r="AM157" s="126">
        <v>45251</v>
      </c>
      <c r="AQ157" s="125">
        <v>5.9859999999999998</v>
      </c>
      <c r="BA157" s="125" t="s">
        <v>451</v>
      </c>
      <c r="BB157" s="125">
        <v>5284654</v>
      </c>
    </row>
    <row r="158" spans="1:54" x14ac:dyDescent="0.3">
      <c r="A158" s="125" t="s">
        <v>294</v>
      </c>
      <c r="B158" s="125" t="s">
        <v>184</v>
      </c>
      <c r="C158" s="125" t="s">
        <v>56</v>
      </c>
      <c r="D158" s="125">
        <v>4</v>
      </c>
      <c r="E158" s="125">
        <v>3130</v>
      </c>
      <c r="F158" s="125">
        <v>2531</v>
      </c>
      <c r="G158" s="125">
        <v>200</v>
      </c>
      <c r="H158" s="125">
        <v>3846.23</v>
      </c>
      <c r="J158" s="125">
        <v>11200</v>
      </c>
      <c r="K158" s="126"/>
      <c r="L158" s="125" t="s">
        <v>278</v>
      </c>
      <c r="M158" s="126">
        <v>45250</v>
      </c>
      <c r="W158" s="125">
        <v>1.573</v>
      </c>
      <c r="AD158" s="125" t="s">
        <v>277</v>
      </c>
      <c r="AF158" s="125" t="s">
        <v>712</v>
      </c>
      <c r="AG158" s="125" t="s">
        <v>711</v>
      </c>
      <c r="AL158" s="125" t="s">
        <v>708</v>
      </c>
      <c r="AM158" s="126">
        <v>45251</v>
      </c>
      <c r="AQ158" s="125">
        <v>10.656000000000001</v>
      </c>
      <c r="BA158" s="125" t="s">
        <v>461</v>
      </c>
      <c r="BB158" s="125">
        <v>5284690</v>
      </c>
    </row>
    <row r="159" spans="1:54" x14ac:dyDescent="0.3">
      <c r="A159" s="125" t="s">
        <v>294</v>
      </c>
      <c r="B159" s="125" t="s">
        <v>285</v>
      </c>
      <c r="C159" s="125" t="s">
        <v>56</v>
      </c>
      <c r="D159" s="125">
        <v>1</v>
      </c>
      <c r="E159" s="125">
        <v>1160</v>
      </c>
      <c r="F159" s="125">
        <v>8430</v>
      </c>
      <c r="G159" s="125">
        <v>140.00299999999999</v>
      </c>
      <c r="H159" s="125">
        <v>3371.42</v>
      </c>
      <c r="J159" s="125">
        <v>16230</v>
      </c>
      <c r="K159" s="126"/>
      <c r="L159" s="125" t="s">
        <v>753</v>
      </c>
      <c r="M159" s="126">
        <v>45295</v>
      </c>
      <c r="W159" s="125">
        <v>1.3620000000000001</v>
      </c>
      <c r="AD159" s="125" t="s">
        <v>359</v>
      </c>
      <c r="AF159" s="125" t="s">
        <v>710</v>
      </c>
      <c r="AG159" s="125" t="s">
        <v>709</v>
      </c>
      <c r="AL159" s="125" t="s">
        <v>708</v>
      </c>
      <c r="AM159" s="126">
        <v>45287</v>
      </c>
      <c r="AQ159" s="125">
        <v>31.257999999999999</v>
      </c>
      <c r="BA159" s="125" t="s">
        <v>684</v>
      </c>
      <c r="BB159" s="125">
        <v>5327872</v>
      </c>
    </row>
    <row r="160" spans="1:54" x14ac:dyDescent="0.3">
      <c r="A160" s="125" t="s">
        <v>294</v>
      </c>
      <c r="B160" s="125" t="s">
        <v>270</v>
      </c>
      <c r="C160" s="125" t="s">
        <v>56</v>
      </c>
      <c r="D160" s="125">
        <v>1</v>
      </c>
      <c r="E160" s="125">
        <v>3400.0070000000001</v>
      </c>
      <c r="F160" s="125">
        <v>2081</v>
      </c>
      <c r="G160" s="125">
        <v>200.00399999999999</v>
      </c>
      <c r="H160" s="125">
        <v>3425.86</v>
      </c>
      <c r="J160" s="125">
        <v>14360</v>
      </c>
      <c r="K160" s="126"/>
      <c r="L160" s="125" t="s">
        <v>278</v>
      </c>
      <c r="M160" s="126">
        <v>45268</v>
      </c>
      <c r="W160" s="125">
        <v>1.397</v>
      </c>
      <c r="AD160" s="125" t="s">
        <v>277</v>
      </c>
      <c r="AF160" s="125" t="s">
        <v>710</v>
      </c>
      <c r="AG160" s="125" t="s">
        <v>710</v>
      </c>
      <c r="AL160" s="125" t="s">
        <v>708</v>
      </c>
      <c r="AM160" s="126">
        <v>45271</v>
      </c>
      <c r="AQ160" s="125">
        <v>16.030999999999999</v>
      </c>
      <c r="BA160" s="125" t="s">
        <v>627</v>
      </c>
      <c r="BB160" s="125">
        <v>5332462</v>
      </c>
    </row>
    <row r="161" spans="1:54" x14ac:dyDescent="0.3">
      <c r="A161" s="125" t="s">
        <v>294</v>
      </c>
      <c r="B161" s="125" t="s">
        <v>316</v>
      </c>
      <c r="C161" s="125" t="s">
        <v>57</v>
      </c>
      <c r="D161" s="125">
        <v>3</v>
      </c>
      <c r="E161" s="125">
        <v>3280.0010000000002</v>
      </c>
      <c r="F161" s="125">
        <v>6160.0060000000003</v>
      </c>
      <c r="G161" s="125">
        <v>595.01700000000005</v>
      </c>
      <c r="H161" s="125">
        <v>9592.17</v>
      </c>
      <c r="J161" s="125">
        <v>10970</v>
      </c>
      <c r="K161" s="126"/>
      <c r="L161" s="125" t="s">
        <v>349</v>
      </c>
      <c r="M161" s="126">
        <v>45247</v>
      </c>
      <c r="W161" s="125">
        <v>3.802</v>
      </c>
      <c r="AD161" s="125" t="s">
        <v>584</v>
      </c>
      <c r="AF161" s="125" t="s">
        <v>712</v>
      </c>
      <c r="AG161" s="125" t="s">
        <v>711</v>
      </c>
      <c r="AL161" s="125" t="s">
        <v>708</v>
      </c>
      <c r="AM161" s="126">
        <v>45250</v>
      </c>
      <c r="AQ161" s="125">
        <v>65.738</v>
      </c>
      <c r="BA161" s="125" t="s">
        <v>608</v>
      </c>
      <c r="BB161" s="125">
        <v>5331516</v>
      </c>
    </row>
    <row r="162" spans="1:54" x14ac:dyDescent="0.3">
      <c r="A162" s="125" t="s">
        <v>294</v>
      </c>
      <c r="B162" s="125" t="s">
        <v>328</v>
      </c>
      <c r="C162" s="125" t="s">
        <v>57</v>
      </c>
      <c r="D162" s="125">
        <v>1</v>
      </c>
      <c r="E162" s="125">
        <v>3780.0210000000002</v>
      </c>
      <c r="F162" s="125">
        <v>7290.0029999999997</v>
      </c>
      <c r="G162" s="125">
        <v>595.01499999999999</v>
      </c>
      <c r="H162" s="125">
        <v>11720.76</v>
      </c>
      <c r="J162" s="125">
        <v>14200</v>
      </c>
      <c r="K162" s="126"/>
      <c r="L162" s="125" t="s">
        <v>348</v>
      </c>
      <c r="M162" s="126">
        <v>45268</v>
      </c>
      <c r="W162" s="125">
        <v>4.5469999999999997</v>
      </c>
      <c r="AD162" s="125" t="s">
        <v>584</v>
      </c>
      <c r="AF162" s="125" t="s">
        <v>710</v>
      </c>
      <c r="AG162" s="125" t="s">
        <v>710</v>
      </c>
      <c r="AL162" s="125" t="s">
        <v>708</v>
      </c>
      <c r="AM162" s="126">
        <v>45271</v>
      </c>
      <c r="AP162" s="125">
        <v>2</v>
      </c>
      <c r="AQ162" s="125">
        <v>38.466000000000001</v>
      </c>
      <c r="BA162" s="125" t="s">
        <v>625</v>
      </c>
      <c r="BB162" s="125">
        <v>5331523</v>
      </c>
    </row>
    <row r="163" spans="1:54" x14ac:dyDescent="0.3">
      <c r="A163" s="125" t="s">
        <v>294</v>
      </c>
      <c r="B163" s="125" t="s">
        <v>254</v>
      </c>
      <c r="C163" s="125" t="s">
        <v>56</v>
      </c>
      <c r="D163" s="125">
        <v>4</v>
      </c>
      <c r="E163" s="125">
        <v>3130.0070000000001</v>
      </c>
      <c r="F163" s="125">
        <v>6180</v>
      </c>
      <c r="G163" s="125">
        <v>200.03700000000001</v>
      </c>
      <c r="H163" s="125">
        <v>8059.31</v>
      </c>
      <c r="J163" s="125">
        <v>13300</v>
      </c>
      <c r="K163" s="126"/>
      <c r="L163" s="125" t="s">
        <v>753</v>
      </c>
      <c r="M163" s="126">
        <v>45264</v>
      </c>
      <c r="W163" s="125">
        <v>3.2749999999999999</v>
      </c>
      <c r="AD163" s="125" t="s">
        <v>277</v>
      </c>
      <c r="AF163" s="125" t="s">
        <v>710</v>
      </c>
      <c r="AG163" s="125" t="s">
        <v>712</v>
      </c>
      <c r="AL163" s="125" t="s">
        <v>708</v>
      </c>
      <c r="AM163" s="126">
        <v>45265</v>
      </c>
      <c r="AQ163" s="125">
        <v>46.671999999999997</v>
      </c>
      <c r="BA163" s="125" t="s">
        <v>413</v>
      </c>
      <c r="BB163" s="125">
        <v>5284511</v>
      </c>
    </row>
    <row r="164" spans="1:54" x14ac:dyDescent="0.3">
      <c r="A164" s="125" t="s">
        <v>294</v>
      </c>
      <c r="B164" s="125" t="s">
        <v>219</v>
      </c>
      <c r="C164" s="125" t="s">
        <v>56</v>
      </c>
      <c r="D164" s="125">
        <v>4</v>
      </c>
      <c r="E164" s="125">
        <v>3130.0230000000001</v>
      </c>
      <c r="F164" s="125">
        <v>5660.9970000000003</v>
      </c>
      <c r="G164" s="125">
        <v>400.00599999999997</v>
      </c>
      <c r="H164" s="125">
        <v>8373.59</v>
      </c>
      <c r="J164" s="125">
        <v>11160</v>
      </c>
      <c r="K164" s="126"/>
      <c r="L164" s="125" t="s">
        <v>278</v>
      </c>
      <c r="M164" s="126">
        <v>45250</v>
      </c>
      <c r="W164" s="125">
        <v>3.41</v>
      </c>
      <c r="AD164" s="125" t="s">
        <v>277</v>
      </c>
      <c r="AF164" s="125" t="s">
        <v>712</v>
      </c>
      <c r="AG164" s="125" t="s">
        <v>711</v>
      </c>
      <c r="AL164" s="125" t="s">
        <v>708</v>
      </c>
      <c r="AM164" s="126">
        <v>45251</v>
      </c>
      <c r="AP164" s="125">
        <v>1</v>
      </c>
      <c r="AQ164" s="125">
        <v>50.408999999999999</v>
      </c>
      <c r="BA164" s="125" t="s">
        <v>422</v>
      </c>
      <c r="BB164" s="125">
        <v>5284546</v>
      </c>
    </row>
    <row r="165" spans="1:54" x14ac:dyDescent="0.3">
      <c r="A165" s="125" t="s">
        <v>294</v>
      </c>
      <c r="B165" s="125" t="s">
        <v>345</v>
      </c>
      <c r="C165" s="125" t="s">
        <v>57</v>
      </c>
      <c r="D165" s="125">
        <v>1</v>
      </c>
      <c r="E165" s="125">
        <v>3780.0050000000001</v>
      </c>
      <c r="F165" s="125">
        <v>3634.962</v>
      </c>
      <c r="G165" s="125">
        <v>595.26099999999997</v>
      </c>
      <c r="H165" s="125">
        <v>5900.01</v>
      </c>
      <c r="J165" s="125">
        <v>14240</v>
      </c>
      <c r="K165" s="126"/>
      <c r="L165" s="125" t="s">
        <v>349</v>
      </c>
      <c r="M165" s="126">
        <v>45268</v>
      </c>
      <c r="W165" s="125">
        <v>2.3260000000000001</v>
      </c>
      <c r="AD165" s="125" t="s">
        <v>584</v>
      </c>
      <c r="AF165" s="125" t="s">
        <v>710</v>
      </c>
      <c r="AG165" s="125" t="s">
        <v>710</v>
      </c>
      <c r="AL165" s="125" t="s">
        <v>708</v>
      </c>
      <c r="AM165" s="126">
        <v>45271</v>
      </c>
      <c r="AP165" s="125">
        <v>1</v>
      </c>
      <c r="AQ165" s="125">
        <v>49.561</v>
      </c>
      <c r="BA165" s="125" t="s">
        <v>550</v>
      </c>
      <c r="BB165" s="125">
        <v>5316425</v>
      </c>
    </row>
    <row r="166" spans="1:54" x14ac:dyDescent="0.3">
      <c r="A166" s="125" t="s">
        <v>294</v>
      </c>
      <c r="B166" s="125" t="s">
        <v>193</v>
      </c>
      <c r="C166" s="125" t="s">
        <v>56</v>
      </c>
      <c r="D166" s="125">
        <v>2</v>
      </c>
      <c r="E166" s="125">
        <v>3630</v>
      </c>
      <c r="F166" s="125">
        <v>2531</v>
      </c>
      <c r="G166" s="125">
        <v>200.001</v>
      </c>
      <c r="H166" s="125">
        <v>4460.0600000000004</v>
      </c>
      <c r="J166" s="125">
        <v>14570</v>
      </c>
      <c r="K166" s="126"/>
      <c r="L166" s="125" t="s">
        <v>278</v>
      </c>
      <c r="M166" s="126">
        <v>45271</v>
      </c>
      <c r="W166" s="125">
        <v>1.8240000000000001</v>
      </c>
      <c r="AD166" s="125" t="s">
        <v>277</v>
      </c>
      <c r="AF166" s="125" t="s">
        <v>710</v>
      </c>
      <c r="AG166" s="125" t="s">
        <v>710</v>
      </c>
      <c r="AL166" s="125" t="s">
        <v>708</v>
      </c>
      <c r="AM166" s="126">
        <v>45272</v>
      </c>
      <c r="AQ166" s="125">
        <v>10.656000000000001</v>
      </c>
      <c r="BA166" s="125" t="s">
        <v>497</v>
      </c>
      <c r="BB166" s="125">
        <v>5310328</v>
      </c>
    </row>
    <row r="167" spans="1:54" x14ac:dyDescent="0.3">
      <c r="A167" s="125" t="s">
        <v>294</v>
      </c>
      <c r="B167" s="125" t="s">
        <v>210</v>
      </c>
      <c r="C167" s="125" t="s">
        <v>56</v>
      </c>
      <c r="D167" s="125">
        <v>4</v>
      </c>
      <c r="E167" s="125">
        <v>3130.0070000000001</v>
      </c>
      <c r="F167" s="125">
        <v>6609.9989999999998</v>
      </c>
      <c r="G167" s="125">
        <v>200.03700000000001</v>
      </c>
      <c r="H167" s="125">
        <v>8937.85</v>
      </c>
      <c r="J167" s="125">
        <v>13280</v>
      </c>
      <c r="K167" s="126"/>
      <c r="L167" s="125" t="s">
        <v>753</v>
      </c>
      <c r="M167" s="126">
        <v>45264</v>
      </c>
      <c r="W167" s="125">
        <v>3.6520000000000001</v>
      </c>
      <c r="AD167" s="125" t="s">
        <v>277</v>
      </c>
      <c r="AF167" s="125" t="s">
        <v>710</v>
      </c>
      <c r="AG167" s="125" t="s">
        <v>712</v>
      </c>
      <c r="AL167" s="125" t="s">
        <v>708</v>
      </c>
      <c r="AM167" s="126">
        <v>45265</v>
      </c>
      <c r="AQ167" s="125">
        <v>30.646000000000001</v>
      </c>
      <c r="BA167" s="125" t="s">
        <v>438</v>
      </c>
      <c r="BB167" s="125">
        <v>5284610</v>
      </c>
    </row>
    <row r="168" spans="1:54" x14ac:dyDescent="0.3">
      <c r="A168" s="125" t="s">
        <v>294</v>
      </c>
      <c r="B168" s="125" t="s">
        <v>139</v>
      </c>
      <c r="C168" s="125" t="s">
        <v>56</v>
      </c>
      <c r="D168" s="125">
        <v>1</v>
      </c>
      <c r="E168" s="125">
        <v>3120.0070000000001</v>
      </c>
      <c r="F168" s="125">
        <v>8180</v>
      </c>
      <c r="G168" s="125">
        <v>200.042</v>
      </c>
      <c r="H168" s="125">
        <v>11589.88</v>
      </c>
      <c r="J168" s="125">
        <v>8820</v>
      </c>
      <c r="K168" s="126"/>
      <c r="L168" s="125" t="s">
        <v>753</v>
      </c>
      <c r="M168" s="126">
        <v>45237</v>
      </c>
      <c r="W168" s="125">
        <v>4.6859999999999999</v>
      </c>
      <c r="AD168" s="125" t="s">
        <v>350</v>
      </c>
      <c r="AF168" s="125" t="s">
        <v>706</v>
      </c>
      <c r="AG168" s="125" t="s">
        <v>755</v>
      </c>
      <c r="AL168" s="125" t="s">
        <v>708</v>
      </c>
      <c r="AM168" s="126">
        <v>45238</v>
      </c>
      <c r="AQ168" s="125">
        <v>89.156000000000006</v>
      </c>
      <c r="BA168" s="125" t="s">
        <v>523</v>
      </c>
      <c r="BB168" s="125">
        <v>5312234</v>
      </c>
    </row>
    <row r="169" spans="1:54" x14ac:dyDescent="0.3">
      <c r="A169" s="125" t="s">
        <v>294</v>
      </c>
      <c r="B169" s="125" t="s">
        <v>149</v>
      </c>
      <c r="C169" s="125" t="s">
        <v>56</v>
      </c>
      <c r="D169" s="125">
        <v>1</v>
      </c>
      <c r="E169" s="125">
        <v>3630.0070000000001</v>
      </c>
      <c r="F169" s="125">
        <v>4230</v>
      </c>
      <c r="G169" s="125">
        <v>200.03700000000001</v>
      </c>
      <c r="H169" s="125">
        <v>6353.33</v>
      </c>
      <c r="J169" s="125">
        <v>6320</v>
      </c>
      <c r="K169" s="126">
        <v>45159</v>
      </c>
      <c r="L169" s="125" t="s">
        <v>754</v>
      </c>
      <c r="M169" s="126">
        <v>45215</v>
      </c>
      <c r="W169" s="125">
        <v>2.5880000000000001</v>
      </c>
      <c r="AD169" s="125" t="s">
        <v>277</v>
      </c>
      <c r="AF169" s="125" t="s">
        <v>711</v>
      </c>
      <c r="AG169" s="125" t="s">
        <v>710</v>
      </c>
      <c r="AL169" s="125" t="s">
        <v>708</v>
      </c>
      <c r="AM169" s="126">
        <v>45216</v>
      </c>
      <c r="AQ169" s="125">
        <v>33.417000000000002</v>
      </c>
      <c r="BA169" s="125" t="s">
        <v>773</v>
      </c>
      <c r="BB169" s="125">
        <v>5287959</v>
      </c>
    </row>
    <row r="170" spans="1:54" x14ac:dyDescent="0.3">
      <c r="A170" s="125" t="s">
        <v>294</v>
      </c>
      <c r="B170" s="125" t="s">
        <v>271</v>
      </c>
      <c r="C170" s="125" t="s">
        <v>56</v>
      </c>
      <c r="D170" s="125">
        <v>1</v>
      </c>
      <c r="E170" s="125">
        <v>3130.0070000000001</v>
      </c>
      <c r="F170" s="125">
        <v>5181</v>
      </c>
      <c r="G170" s="125">
        <v>400.00400000000002</v>
      </c>
      <c r="H170" s="125">
        <v>7939.15</v>
      </c>
      <c r="J170" s="125">
        <v>15500</v>
      </c>
      <c r="K170" s="126"/>
      <c r="L170" s="125" t="s">
        <v>278</v>
      </c>
      <c r="M170" s="126">
        <v>45278</v>
      </c>
      <c r="W170" s="125">
        <v>3.234</v>
      </c>
      <c r="AD170" s="125" t="s">
        <v>277</v>
      </c>
      <c r="AF170" s="125" t="s">
        <v>710</v>
      </c>
      <c r="AG170" s="125" t="s">
        <v>707</v>
      </c>
      <c r="AL170" s="125" t="s">
        <v>708</v>
      </c>
      <c r="AM170" s="126">
        <v>45279</v>
      </c>
      <c r="AP170" s="125">
        <v>1</v>
      </c>
      <c r="AQ170" s="125">
        <v>40.728000000000002</v>
      </c>
      <c r="BA170" s="125" t="s">
        <v>674</v>
      </c>
      <c r="BB170" s="125">
        <v>5332486</v>
      </c>
    </row>
    <row r="171" spans="1:54" x14ac:dyDescent="0.3">
      <c r="A171" s="125" t="s">
        <v>294</v>
      </c>
      <c r="B171" s="125" t="s">
        <v>375</v>
      </c>
      <c r="C171" s="125" t="s">
        <v>57</v>
      </c>
      <c r="D171" s="125">
        <v>1</v>
      </c>
      <c r="E171" s="125">
        <v>3130.01</v>
      </c>
      <c r="F171" s="125">
        <v>6410.0150000000003</v>
      </c>
      <c r="G171" s="125">
        <v>595.00900000000001</v>
      </c>
      <c r="H171" s="125">
        <v>7832.6</v>
      </c>
      <c r="J171" s="125">
        <v>14290</v>
      </c>
      <c r="K171" s="126"/>
      <c r="L171" s="125" t="s">
        <v>349</v>
      </c>
      <c r="M171" s="126">
        <v>45268</v>
      </c>
      <c r="W171" s="125">
        <v>3.0880000000000001</v>
      </c>
      <c r="AD171" s="125" t="s">
        <v>584</v>
      </c>
      <c r="AF171" s="125" t="s">
        <v>710</v>
      </c>
      <c r="AG171" s="125" t="s">
        <v>710</v>
      </c>
      <c r="AL171" s="125" t="s">
        <v>708</v>
      </c>
      <c r="AM171" s="126">
        <v>45271</v>
      </c>
      <c r="AP171" s="125">
        <v>3</v>
      </c>
      <c r="AQ171" s="125">
        <v>43.401000000000003</v>
      </c>
      <c r="BA171" s="125" t="s">
        <v>621</v>
      </c>
      <c r="BB171" s="125">
        <v>5331509</v>
      </c>
    </row>
    <row r="172" spans="1:54" x14ac:dyDescent="0.3">
      <c r="A172" s="125" t="s">
        <v>294</v>
      </c>
      <c r="B172" s="125" t="s">
        <v>262</v>
      </c>
      <c r="C172" s="125" t="s">
        <v>56</v>
      </c>
      <c r="D172" s="125">
        <v>1</v>
      </c>
      <c r="E172" s="125">
        <v>3130</v>
      </c>
      <c r="F172" s="125">
        <v>1560</v>
      </c>
      <c r="G172" s="125">
        <v>200.001</v>
      </c>
      <c r="H172" s="125">
        <v>2368.6999999999998</v>
      </c>
      <c r="J172" s="125">
        <v>15570</v>
      </c>
      <c r="K172" s="126"/>
      <c r="L172" s="125" t="s">
        <v>753</v>
      </c>
      <c r="M172" s="126">
        <v>45278</v>
      </c>
      <c r="W172" s="125">
        <v>0.96899999999999997</v>
      </c>
      <c r="AD172" s="125" t="s">
        <v>277</v>
      </c>
      <c r="AF172" s="125" t="s">
        <v>710</v>
      </c>
      <c r="AG172" s="125" t="s">
        <v>707</v>
      </c>
      <c r="AL172" s="125" t="s">
        <v>708</v>
      </c>
      <c r="AM172" s="126">
        <v>45279</v>
      </c>
      <c r="AQ172" s="125">
        <v>5.7160000000000002</v>
      </c>
      <c r="BA172" s="125" t="s">
        <v>498</v>
      </c>
      <c r="BB172" s="125">
        <v>5310331</v>
      </c>
    </row>
    <row r="173" spans="1:54" x14ac:dyDescent="0.3">
      <c r="A173" s="125" t="s">
        <v>294</v>
      </c>
      <c r="B173" s="125" t="s">
        <v>291</v>
      </c>
      <c r="C173" s="125" t="s">
        <v>56</v>
      </c>
      <c r="D173" s="125">
        <v>1</v>
      </c>
      <c r="E173" s="125">
        <v>1160</v>
      </c>
      <c r="F173" s="125">
        <v>6030</v>
      </c>
      <c r="G173" s="125">
        <v>140</v>
      </c>
      <c r="H173" s="125">
        <v>2403.79</v>
      </c>
      <c r="J173" s="125">
        <v>16210</v>
      </c>
      <c r="K173" s="126"/>
      <c r="L173" s="125" t="s">
        <v>753</v>
      </c>
      <c r="M173" s="126">
        <v>45293</v>
      </c>
      <c r="W173" s="125">
        <v>0.97199999999999998</v>
      </c>
      <c r="AD173" s="125" t="s">
        <v>359</v>
      </c>
      <c r="AF173" s="125" t="s">
        <v>710</v>
      </c>
      <c r="AG173" s="125" t="s">
        <v>709</v>
      </c>
      <c r="AL173" s="125" t="s">
        <v>708</v>
      </c>
      <c r="AM173" s="126">
        <v>45287</v>
      </c>
      <c r="AQ173" s="125">
        <v>19.896000000000001</v>
      </c>
      <c r="BA173" s="125" t="s">
        <v>677</v>
      </c>
      <c r="BB173" s="125">
        <v>5327862</v>
      </c>
    </row>
    <row r="174" spans="1:54" x14ac:dyDescent="0.3">
      <c r="A174" s="125" t="s">
        <v>294</v>
      </c>
      <c r="B174" s="125" t="s">
        <v>222</v>
      </c>
      <c r="C174" s="125" t="s">
        <v>56</v>
      </c>
      <c r="D174" s="125">
        <v>1</v>
      </c>
      <c r="E174" s="125">
        <v>3420.0070000000001</v>
      </c>
      <c r="F174" s="125">
        <v>4560</v>
      </c>
      <c r="G174" s="125">
        <v>200.04</v>
      </c>
      <c r="H174" s="125">
        <v>7477.23</v>
      </c>
      <c r="J174" s="125">
        <v>6190</v>
      </c>
      <c r="K174" s="126">
        <v>45159</v>
      </c>
      <c r="L174" s="125" t="s">
        <v>753</v>
      </c>
      <c r="M174" s="126">
        <v>45215</v>
      </c>
      <c r="W174" s="125">
        <v>3.0470000000000002</v>
      </c>
      <c r="AD174" s="125" t="s">
        <v>277</v>
      </c>
      <c r="AF174" s="125" t="s">
        <v>711</v>
      </c>
      <c r="AG174" s="125" t="s">
        <v>710</v>
      </c>
      <c r="AL174" s="125" t="s">
        <v>708</v>
      </c>
      <c r="AM174" s="126">
        <v>45216</v>
      </c>
      <c r="AQ174" s="125">
        <v>47.234999999999999</v>
      </c>
      <c r="BA174" s="125" t="s">
        <v>774</v>
      </c>
      <c r="BB174" s="125">
        <v>5287965</v>
      </c>
    </row>
    <row r="175" spans="1:54" x14ac:dyDescent="0.3">
      <c r="A175" s="125" t="s">
        <v>294</v>
      </c>
      <c r="B175" s="125" t="s">
        <v>159</v>
      </c>
      <c r="C175" s="125" t="s">
        <v>56</v>
      </c>
      <c r="D175" s="125">
        <v>1</v>
      </c>
      <c r="E175" s="125">
        <v>3420.0070000000001</v>
      </c>
      <c r="F175" s="125">
        <v>3070</v>
      </c>
      <c r="G175" s="125">
        <v>200.00299999999999</v>
      </c>
      <c r="H175" s="125">
        <v>5078.1400000000003</v>
      </c>
      <c r="J175" s="125">
        <v>14410</v>
      </c>
      <c r="K175" s="126"/>
      <c r="L175" s="125" t="s">
        <v>753</v>
      </c>
      <c r="M175" s="126">
        <v>45271</v>
      </c>
      <c r="W175" s="125">
        <v>2.0720000000000001</v>
      </c>
      <c r="AD175" s="125" t="s">
        <v>277</v>
      </c>
      <c r="AF175" s="125" t="s">
        <v>710</v>
      </c>
      <c r="AG175" s="125" t="s">
        <v>710</v>
      </c>
      <c r="AL175" s="125" t="s">
        <v>708</v>
      </c>
      <c r="AM175" s="126">
        <v>45272</v>
      </c>
      <c r="AQ175" s="125">
        <v>19.628</v>
      </c>
      <c r="BA175" s="125" t="s">
        <v>631</v>
      </c>
      <c r="BB175" s="125">
        <v>5332461</v>
      </c>
    </row>
    <row r="176" spans="1:54" x14ac:dyDescent="0.3">
      <c r="A176" s="125" t="s">
        <v>294</v>
      </c>
      <c r="B176" s="125" t="s">
        <v>147</v>
      </c>
      <c r="C176" s="125" t="s">
        <v>56</v>
      </c>
      <c r="D176" s="125">
        <v>3</v>
      </c>
      <c r="E176" s="125">
        <v>2920.0149999999999</v>
      </c>
      <c r="F176" s="125">
        <v>2380.0010000000002</v>
      </c>
      <c r="G176" s="125">
        <v>200.03899999999999</v>
      </c>
      <c r="H176" s="125">
        <v>2305.7199999999998</v>
      </c>
      <c r="J176" s="125">
        <v>12210</v>
      </c>
      <c r="K176" s="126"/>
      <c r="L176" s="125" t="s">
        <v>753</v>
      </c>
      <c r="M176" s="126">
        <v>45257</v>
      </c>
      <c r="W176" s="125">
        <v>0.91800000000000004</v>
      </c>
      <c r="AD176" s="125" t="s">
        <v>277</v>
      </c>
      <c r="AF176" s="125" t="s">
        <v>712</v>
      </c>
      <c r="AG176" s="125" t="s">
        <v>706</v>
      </c>
      <c r="AL176" s="125" t="s">
        <v>708</v>
      </c>
      <c r="AM176" s="126">
        <v>45258</v>
      </c>
      <c r="AP176" s="125">
        <v>2</v>
      </c>
      <c r="AQ176" s="125">
        <v>14.186999999999999</v>
      </c>
      <c r="BA176" s="125" t="s">
        <v>391</v>
      </c>
      <c r="BB176" s="125">
        <v>5284404</v>
      </c>
    </row>
    <row r="177" spans="1:54" x14ac:dyDescent="0.3">
      <c r="A177" s="125" t="s">
        <v>294</v>
      </c>
      <c r="B177" s="125" t="s">
        <v>319</v>
      </c>
      <c r="C177" s="125" t="s">
        <v>57</v>
      </c>
      <c r="D177" s="125">
        <v>4</v>
      </c>
      <c r="E177" s="125">
        <v>3280.0210000000002</v>
      </c>
      <c r="F177" s="125">
        <v>5340.027</v>
      </c>
      <c r="G177" s="125">
        <v>595.01199999999994</v>
      </c>
      <c r="H177" s="125">
        <v>6757.62</v>
      </c>
      <c r="J177" s="125">
        <v>12040</v>
      </c>
      <c r="K177" s="126"/>
      <c r="L177" s="125" t="s">
        <v>349</v>
      </c>
      <c r="M177" s="126">
        <v>45254</v>
      </c>
      <c r="W177" s="125">
        <v>2.6760000000000002</v>
      </c>
      <c r="AD177" s="125" t="s">
        <v>584</v>
      </c>
      <c r="AF177" s="125" t="s">
        <v>712</v>
      </c>
      <c r="AG177" s="125" t="s">
        <v>706</v>
      </c>
      <c r="AL177" s="125" t="s">
        <v>708</v>
      </c>
      <c r="AM177" s="126">
        <v>45257</v>
      </c>
      <c r="AP177" s="125">
        <v>1</v>
      </c>
      <c r="AQ177" s="125">
        <v>17.542000000000002</v>
      </c>
      <c r="BA177" s="125" t="s">
        <v>599</v>
      </c>
      <c r="BB177" s="125">
        <v>5326757</v>
      </c>
    </row>
    <row r="178" spans="1:54" x14ac:dyDescent="0.3">
      <c r="A178" s="125" t="s">
        <v>294</v>
      </c>
      <c r="B178" s="125" t="s">
        <v>298</v>
      </c>
      <c r="C178" s="125" t="s">
        <v>57</v>
      </c>
      <c r="D178" s="125">
        <v>1</v>
      </c>
      <c r="E178" s="125">
        <v>3280.009</v>
      </c>
      <c r="F178" s="125">
        <v>7180.0469999999996</v>
      </c>
      <c r="G178" s="125">
        <v>595.03200000000004</v>
      </c>
      <c r="H178" s="125">
        <v>8624.24</v>
      </c>
      <c r="J178" s="125">
        <v>12010</v>
      </c>
      <c r="K178" s="126"/>
      <c r="L178" s="125" t="s">
        <v>348</v>
      </c>
      <c r="M178" s="126">
        <v>45254</v>
      </c>
      <c r="W178" s="125">
        <v>3.3540000000000001</v>
      </c>
      <c r="AD178" s="125" t="s">
        <v>584</v>
      </c>
      <c r="AF178" s="125" t="s">
        <v>712</v>
      </c>
      <c r="AG178" s="125" t="s">
        <v>706</v>
      </c>
      <c r="AL178" s="125" t="s">
        <v>708</v>
      </c>
      <c r="AM178" s="126">
        <v>45257</v>
      </c>
      <c r="AP178" s="125">
        <v>2</v>
      </c>
      <c r="AQ178" s="125">
        <v>45.104999999999997</v>
      </c>
      <c r="BA178" s="125" t="s">
        <v>564</v>
      </c>
      <c r="BB178" s="125">
        <v>5316461</v>
      </c>
    </row>
    <row r="179" spans="1:54" x14ac:dyDescent="0.3">
      <c r="A179" s="125" t="s">
        <v>294</v>
      </c>
      <c r="B179" s="125" t="s">
        <v>203</v>
      </c>
      <c r="C179" s="125" t="s">
        <v>56</v>
      </c>
      <c r="D179" s="125">
        <v>4</v>
      </c>
      <c r="E179" s="125">
        <v>2920.0070000000001</v>
      </c>
      <c r="F179" s="125">
        <v>4560</v>
      </c>
      <c r="G179" s="125">
        <v>200.04</v>
      </c>
      <c r="H179" s="125">
        <v>6370.73</v>
      </c>
      <c r="J179" s="125">
        <v>9990</v>
      </c>
      <c r="K179" s="126"/>
      <c r="L179" s="125" t="s">
        <v>753</v>
      </c>
      <c r="M179" s="126">
        <v>45244</v>
      </c>
      <c r="W179" s="125">
        <v>2.5920000000000001</v>
      </c>
      <c r="AD179" s="125" t="s">
        <v>277</v>
      </c>
      <c r="AF179" s="125" t="s">
        <v>706</v>
      </c>
      <c r="AG179" s="125" t="s">
        <v>713</v>
      </c>
      <c r="AL179" s="125" t="s">
        <v>708</v>
      </c>
      <c r="AM179" s="126">
        <v>45245</v>
      </c>
      <c r="AQ179" s="125">
        <v>45.067999999999998</v>
      </c>
      <c r="BA179" s="125" t="s">
        <v>449</v>
      </c>
      <c r="BB179" s="125">
        <v>5284649</v>
      </c>
    </row>
    <row r="180" spans="1:54" x14ac:dyDescent="0.3">
      <c r="A180" s="125" t="s">
        <v>294</v>
      </c>
      <c r="B180" s="125" t="s">
        <v>309</v>
      </c>
      <c r="C180" s="125" t="s">
        <v>57</v>
      </c>
      <c r="D180" s="125">
        <v>2</v>
      </c>
      <c r="E180" s="125">
        <v>3280.0070000000001</v>
      </c>
      <c r="F180" s="125">
        <v>6050.04</v>
      </c>
      <c r="G180" s="125">
        <v>595</v>
      </c>
      <c r="H180" s="125">
        <v>7917.53</v>
      </c>
      <c r="J180" s="125">
        <v>10960</v>
      </c>
      <c r="K180" s="126"/>
      <c r="L180" s="125" t="s">
        <v>348</v>
      </c>
      <c r="M180" s="126">
        <v>45247</v>
      </c>
      <c r="W180" s="125">
        <v>3.117</v>
      </c>
      <c r="AD180" s="125" t="s">
        <v>584</v>
      </c>
      <c r="AF180" s="125" t="s">
        <v>712</v>
      </c>
      <c r="AG180" s="125" t="s">
        <v>711</v>
      </c>
      <c r="AL180" s="125" t="s">
        <v>708</v>
      </c>
      <c r="AM180" s="126">
        <v>45250</v>
      </c>
      <c r="AP180" s="125">
        <v>3</v>
      </c>
      <c r="AQ180" s="125">
        <v>52.445</v>
      </c>
      <c r="BA180" s="125" t="s">
        <v>607</v>
      </c>
      <c r="BB180" s="125">
        <v>5331468</v>
      </c>
    </row>
    <row r="181" spans="1:54" x14ac:dyDescent="0.3">
      <c r="A181" s="125" t="s">
        <v>294</v>
      </c>
      <c r="B181" s="125" t="s">
        <v>254</v>
      </c>
      <c r="C181" s="125" t="s">
        <v>56</v>
      </c>
      <c r="D181" s="125">
        <v>4</v>
      </c>
      <c r="E181" s="125">
        <v>3130.0070000000001</v>
      </c>
      <c r="F181" s="125">
        <v>6180</v>
      </c>
      <c r="G181" s="125">
        <v>200.03700000000001</v>
      </c>
      <c r="H181" s="125">
        <v>8059.31</v>
      </c>
      <c r="J181" s="125">
        <v>11050</v>
      </c>
      <c r="K181" s="126"/>
      <c r="L181" s="125" t="s">
        <v>753</v>
      </c>
      <c r="M181" s="126">
        <v>45250</v>
      </c>
      <c r="W181" s="125">
        <v>3.2749999999999999</v>
      </c>
      <c r="AD181" s="125" t="s">
        <v>277</v>
      </c>
      <c r="AF181" s="125" t="s">
        <v>712</v>
      </c>
      <c r="AG181" s="125" t="s">
        <v>711</v>
      </c>
      <c r="AL181" s="125" t="s">
        <v>708</v>
      </c>
      <c r="AM181" s="126">
        <v>45251</v>
      </c>
      <c r="AQ181" s="125">
        <v>46.671999999999997</v>
      </c>
      <c r="BA181" s="125" t="s">
        <v>473</v>
      </c>
      <c r="BB181" s="125">
        <v>5284740</v>
      </c>
    </row>
    <row r="182" spans="1:54" x14ac:dyDescent="0.3">
      <c r="A182" s="125" t="s">
        <v>294</v>
      </c>
      <c r="B182" s="125" t="s">
        <v>286</v>
      </c>
      <c r="C182" s="125" t="s">
        <v>56</v>
      </c>
      <c r="D182" s="125">
        <v>1</v>
      </c>
      <c r="E182" s="125">
        <v>1160</v>
      </c>
      <c r="F182" s="125">
        <v>7135.9970000000003</v>
      </c>
      <c r="G182" s="125">
        <v>140</v>
      </c>
      <c r="H182" s="125">
        <v>2850.25</v>
      </c>
      <c r="J182" s="125">
        <v>16220</v>
      </c>
      <c r="K182" s="126"/>
      <c r="L182" s="125" t="s">
        <v>278</v>
      </c>
      <c r="M182" s="126">
        <v>45294</v>
      </c>
      <c r="W182" s="125">
        <v>1.153</v>
      </c>
      <c r="AD182" s="125" t="s">
        <v>359</v>
      </c>
      <c r="AF182" s="125" t="s">
        <v>710</v>
      </c>
      <c r="AG182" s="125" t="s">
        <v>709</v>
      </c>
      <c r="AL182" s="125" t="s">
        <v>708</v>
      </c>
      <c r="AM182" s="126">
        <v>45287</v>
      </c>
      <c r="AQ182" s="125">
        <v>23.649000000000001</v>
      </c>
      <c r="BA182" s="125" t="s">
        <v>683</v>
      </c>
      <c r="BB182" s="125">
        <v>5327871</v>
      </c>
    </row>
    <row r="183" spans="1:54" x14ac:dyDescent="0.3">
      <c r="A183" s="125" t="s">
        <v>294</v>
      </c>
      <c r="B183" s="125" t="s">
        <v>354</v>
      </c>
      <c r="C183" s="125" t="s">
        <v>57</v>
      </c>
      <c r="D183" s="125">
        <v>2</v>
      </c>
      <c r="E183" s="125">
        <v>3280.0059999999999</v>
      </c>
      <c r="F183" s="125">
        <v>5464.9859999999999</v>
      </c>
      <c r="G183" s="125">
        <v>595.00099999999998</v>
      </c>
      <c r="H183" s="125">
        <v>7355.5</v>
      </c>
      <c r="J183" s="125">
        <v>9720</v>
      </c>
      <c r="K183" s="126"/>
      <c r="L183" s="125" t="s">
        <v>349</v>
      </c>
      <c r="M183" s="126">
        <v>45243</v>
      </c>
      <c r="W183" s="125">
        <v>2.8410000000000002</v>
      </c>
      <c r="AD183" s="125" t="s">
        <v>744</v>
      </c>
      <c r="AF183" s="125" t="s">
        <v>706</v>
      </c>
      <c r="AG183" s="125" t="s">
        <v>713</v>
      </c>
      <c r="AL183" s="125" t="s">
        <v>708</v>
      </c>
      <c r="AM183" s="126">
        <v>45244</v>
      </c>
      <c r="AP183" s="125">
        <v>2</v>
      </c>
      <c r="AQ183" s="125">
        <v>34.424999999999997</v>
      </c>
      <c r="BA183" s="125" t="s">
        <v>549</v>
      </c>
      <c r="BB183" s="125">
        <v>5316421</v>
      </c>
    </row>
    <row r="184" spans="1:54" x14ac:dyDescent="0.3">
      <c r="A184" s="125" t="s">
        <v>294</v>
      </c>
      <c r="B184" s="125" t="s">
        <v>343</v>
      </c>
      <c r="C184" s="125" t="s">
        <v>57</v>
      </c>
      <c r="D184" s="125">
        <v>2</v>
      </c>
      <c r="E184" s="125">
        <v>3130.011</v>
      </c>
      <c r="F184" s="125">
        <v>3040.0070000000001</v>
      </c>
      <c r="G184" s="125">
        <v>545</v>
      </c>
      <c r="H184" s="125">
        <v>5374.62</v>
      </c>
      <c r="J184" s="125">
        <v>7060</v>
      </c>
      <c r="K184" s="126"/>
      <c r="L184" s="125" t="s">
        <v>348</v>
      </c>
      <c r="M184" s="126">
        <v>45219</v>
      </c>
      <c r="W184" s="125">
        <v>2.137</v>
      </c>
      <c r="AD184" s="125" t="s">
        <v>584</v>
      </c>
      <c r="AF184" s="125" t="s">
        <v>711</v>
      </c>
      <c r="AG184" s="125" t="s">
        <v>707</v>
      </c>
      <c r="AL184" s="125" t="s">
        <v>708</v>
      </c>
      <c r="AM184" s="126">
        <v>45222</v>
      </c>
      <c r="AQ184" s="125">
        <v>13.864000000000001</v>
      </c>
      <c r="BA184" s="125" t="s">
        <v>368</v>
      </c>
      <c r="BB184" s="125">
        <v>5161616</v>
      </c>
    </row>
    <row r="185" spans="1:54" x14ac:dyDescent="0.3">
      <c r="A185" s="125" t="s">
        <v>294</v>
      </c>
      <c r="B185" s="125" t="s">
        <v>138</v>
      </c>
      <c r="C185" s="125" t="s">
        <v>56</v>
      </c>
      <c r="D185" s="125">
        <v>4</v>
      </c>
      <c r="E185" s="125">
        <v>3130.0070000000001</v>
      </c>
      <c r="F185" s="125">
        <v>4230</v>
      </c>
      <c r="G185" s="125">
        <v>200.03700000000001</v>
      </c>
      <c r="H185" s="125">
        <v>5199.1400000000003</v>
      </c>
      <c r="J185" s="125">
        <v>13290</v>
      </c>
      <c r="K185" s="126"/>
      <c r="L185" s="125" t="s">
        <v>753</v>
      </c>
      <c r="M185" s="126">
        <v>45264</v>
      </c>
      <c r="W185" s="125">
        <v>2.113</v>
      </c>
      <c r="AD185" s="125" t="s">
        <v>277</v>
      </c>
      <c r="AF185" s="125" t="s">
        <v>710</v>
      </c>
      <c r="AG185" s="125" t="s">
        <v>712</v>
      </c>
      <c r="AL185" s="125" t="s">
        <v>708</v>
      </c>
      <c r="AM185" s="126">
        <v>45265</v>
      </c>
      <c r="AQ185" s="125">
        <v>33.323</v>
      </c>
      <c r="BA185" s="125" t="s">
        <v>400</v>
      </c>
      <c r="BB185" s="125">
        <v>5284440</v>
      </c>
    </row>
    <row r="186" spans="1:54" x14ac:dyDescent="0.3">
      <c r="A186" s="125" t="s">
        <v>294</v>
      </c>
      <c r="B186" s="125" t="s">
        <v>144</v>
      </c>
      <c r="C186" s="125" t="s">
        <v>56</v>
      </c>
      <c r="D186" s="125">
        <v>2</v>
      </c>
      <c r="E186" s="125">
        <v>3420.0059999999999</v>
      </c>
      <c r="F186" s="125">
        <v>1781</v>
      </c>
      <c r="G186" s="125">
        <v>200.00399999999999</v>
      </c>
      <c r="H186" s="125">
        <v>2963.06</v>
      </c>
      <c r="J186" s="125">
        <v>6240</v>
      </c>
      <c r="K186" s="126">
        <v>45159</v>
      </c>
      <c r="L186" s="125" t="s">
        <v>278</v>
      </c>
      <c r="M186" s="126">
        <v>45215</v>
      </c>
      <c r="W186" s="125">
        <v>1.2090000000000001</v>
      </c>
      <c r="AD186" s="125" t="s">
        <v>277</v>
      </c>
      <c r="AF186" s="125" t="s">
        <v>711</v>
      </c>
      <c r="AG186" s="125" t="s">
        <v>710</v>
      </c>
      <c r="AL186" s="125" t="s">
        <v>708</v>
      </c>
      <c r="AM186" s="126">
        <v>45216</v>
      </c>
      <c r="AQ186" s="125">
        <v>5.9859999999999998</v>
      </c>
      <c r="BA186" s="125" t="s">
        <v>761</v>
      </c>
      <c r="BB186" s="125">
        <v>5287938</v>
      </c>
    </row>
    <row r="187" spans="1:54" x14ac:dyDescent="0.3">
      <c r="A187" s="125" t="s">
        <v>294</v>
      </c>
      <c r="B187" s="125" t="s">
        <v>233</v>
      </c>
      <c r="C187" s="125" t="s">
        <v>56</v>
      </c>
      <c r="D187" s="125">
        <v>1</v>
      </c>
      <c r="E187" s="125">
        <v>2920.0070000000001</v>
      </c>
      <c r="F187" s="125">
        <v>4531</v>
      </c>
      <c r="G187" s="125">
        <v>200.03800000000001</v>
      </c>
      <c r="H187" s="125">
        <v>4929.22</v>
      </c>
      <c r="J187" s="125">
        <v>15510</v>
      </c>
      <c r="K187" s="126"/>
      <c r="L187" s="125" t="s">
        <v>278</v>
      </c>
      <c r="M187" s="126">
        <v>45278</v>
      </c>
      <c r="W187" s="125">
        <v>2.012</v>
      </c>
      <c r="AD187" s="125" t="s">
        <v>277</v>
      </c>
      <c r="AF187" s="125" t="s">
        <v>710</v>
      </c>
      <c r="AG187" s="125" t="s">
        <v>707</v>
      </c>
      <c r="AL187" s="125" t="s">
        <v>708</v>
      </c>
      <c r="AM187" s="126">
        <v>45279</v>
      </c>
      <c r="AQ187" s="125">
        <v>26.262</v>
      </c>
      <c r="BA187" s="125" t="s">
        <v>502</v>
      </c>
      <c r="BB187" s="125">
        <v>5310391</v>
      </c>
    </row>
    <row r="188" spans="1:54" x14ac:dyDescent="0.3">
      <c r="A188" s="125" t="s">
        <v>294</v>
      </c>
      <c r="B188" s="125" t="s">
        <v>217</v>
      </c>
      <c r="C188" s="125" t="s">
        <v>56</v>
      </c>
      <c r="D188" s="125">
        <v>1</v>
      </c>
      <c r="E188" s="125">
        <v>3130.0010000000002</v>
      </c>
      <c r="F188" s="125">
        <v>3804.9989999999998</v>
      </c>
      <c r="G188" s="125">
        <v>200.023</v>
      </c>
      <c r="H188" s="125">
        <v>4687.3500000000004</v>
      </c>
      <c r="J188" s="125">
        <v>10030</v>
      </c>
      <c r="K188" s="126"/>
      <c r="L188" s="125" t="s">
        <v>753</v>
      </c>
      <c r="M188" s="126">
        <v>45244</v>
      </c>
      <c r="W188" s="125">
        <v>1.9039999999999999</v>
      </c>
      <c r="AD188" s="125" t="s">
        <v>277</v>
      </c>
      <c r="AF188" s="125" t="s">
        <v>706</v>
      </c>
      <c r="AG188" s="125" t="s">
        <v>713</v>
      </c>
      <c r="AL188" s="125" t="s">
        <v>708</v>
      </c>
      <c r="AM188" s="126">
        <v>45245</v>
      </c>
      <c r="AP188" s="125">
        <v>1</v>
      </c>
      <c r="AQ188" s="125">
        <v>19.981999999999999</v>
      </c>
      <c r="BA188" s="125" t="s">
        <v>419</v>
      </c>
      <c r="BB188" s="125">
        <v>5284542</v>
      </c>
    </row>
    <row r="189" spans="1:54" x14ac:dyDescent="0.3">
      <c r="A189" s="125" t="s">
        <v>294</v>
      </c>
      <c r="B189" s="125" t="s">
        <v>510</v>
      </c>
      <c r="C189" s="125" t="s">
        <v>57</v>
      </c>
      <c r="D189" s="125">
        <v>1</v>
      </c>
      <c r="E189" s="125">
        <v>3270.0070000000001</v>
      </c>
      <c r="F189" s="125">
        <v>3295.0050000000001</v>
      </c>
      <c r="G189" s="125">
        <v>545.02800000000002</v>
      </c>
      <c r="H189" s="125">
        <v>4097.49</v>
      </c>
      <c r="J189" s="125">
        <v>8720</v>
      </c>
      <c r="K189" s="126"/>
      <c r="L189" s="125" t="s">
        <v>348</v>
      </c>
      <c r="M189" s="126">
        <v>45236</v>
      </c>
      <c r="W189" s="125">
        <v>1.62</v>
      </c>
      <c r="AD189" s="125" t="s">
        <v>584</v>
      </c>
      <c r="AF189" s="125" t="s">
        <v>706</v>
      </c>
      <c r="AG189" s="125" t="s">
        <v>755</v>
      </c>
      <c r="AL189" s="125" t="s">
        <v>708</v>
      </c>
      <c r="AM189" s="126">
        <v>45237</v>
      </c>
      <c r="AP189" s="125">
        <v>1</v>
      </c>
      <c r="AQ189" s="125">
        <v>25.815000000000001</v>
      </c>
      <c r="BA189" s="125" t="s">
        <v>509</v>
      </c>
      <c r="BB189" s="125">
        <v>5312165</v>
      </c>
    </row>
    <row r="190" spans="1:54" x14ac:dyDescent="0.3">
      <c r="A190" s="125" t="s">
        <v>294</v>
      </c>
      <c r="B190" s="125" t="s">
        <v>343</v>
      </c>
      <c r="C190" s="125" t="s">
        <v>57</v>
      </c>
      <c r="D190" s="125">
        <v>2</v>
      </c>
      <c r="E190" s="125">
        <v>3130.011</v>
      </c>
      <c r="F190" s="125">
        <v>3040.0070000000001</v>
      </c>
      <c r="G190" s="125">
        <v>545</v>
      </c>
      <c r="H190" s="125">
        <v>5374.64</v>
      </c>
      <c r="J190" s="125">
        <v>15390</v>
      </c>
      <c r="K190" s="126"/>
      <c r="L190" s="125" t="s">
        <v>348</v>
      </c>
      <c r="M190" s="126">
        <v>45275</v>
      </c>
      <c r="W190" s="125">
        <v>2.137</v>
      </c>
      <c r="AD190" s="125" t="s">
        <v>584</v>
      </c>
      <c r="AF190" s="125" t="s">
        <v>710</v>
      </c>
      <c r="AG190" s="125" t="s">
        <v>707</v>
      </c>
      <c r="AL190" s="125" t="s">
        <v>708</v>
      </c>
      <c r="AM190" s="126">
        <v>45278</v>
      </c>
      <c r="AQ190" s="125">
        <v>13.864000000000001</v>
      </c>
      <c r="BA190" s="125" t="s">
        <v>587</v>
      </c>
      <c r="BB190" s="125">
        <v>5326300</v>
      </c>
    </row>
    <row r="191" spans="1:54" x14ac:dyDescent="0.3">
      <c r="A191" s="125" t="s">
        <v>294</v>
      </c>
      <c r="B191" s="125" t="s">
        <v>184</v>
      </c>
      <c r="C191" s="125" t="s">
        <v>56</v>
      </c>
      <c r="D191" s="125">
        <v>4</v>
      </c>
      <c r="E191" s="125">
        <v>3130</v>
      </c>
      <c r="F191" s="125">
        <v>2531</v>
      </c>
      <c r="G191" s="125">
        <v>200</v>
      </c>
      <c r="H191" s="125">
        <v>3846.23</v>
      </c>
      <c r="J191" s="125">
        <v>10070</v>
      </c>
      <c r="K191" s="126"/>
      <c r="L191" s="125" t="s">
        <v>278</v>
      </c>
      <c r="M191" s="126">
        <v>45244</v>
      </c>
      <c r="W191" s="125">
        <v>1.573</v>
      </c>
      <c r="AD191" s="125" t="s">
        <v>277</v>
      </c>
      <c r="AF191" s="125" t="s">
        <v>706</v>
      </c>
      <c r="AG191" s="125" t="s">
        <v>713</v>
      </c>
      <c r="AL191" s="125" t="s">
        <v>708</v>
      </c>
      <c r="AM191" s="126">
        <v>45245</v>
      </c>
      <c r="AQ191" s="125">
        <v>10.656000000000001</v>
      </c>
      <c r="BA191" s="125" t="s">
        <v>445</v>
      </c>
      <c r="BB191" s="125">
        <v>5284637</v>
      </c>
    </row>
    <row r="192" spans="1:54" x14ac:dyDescent="0.3">
      <c r="A192" s="125" t="s">
        <v>294</v>
      </c>
      <c r="B192" s="125" t="s">
        <v>224</v>
      </c>
      <c r="C192" s="125" t="s">
        <v>56</v>
      </c>
      <c r="D192" s="125">
        <v>4</v>
      </c>
      <c r="E192" s="125">
        <v>2920.0070000000001</v>
      </c>
      <c r="F192" s="125">
        <v>3845</v>
      </c>
      <c r="G192" s="125">
        <v>200.00299999999999</v>
      </c>
      <c r="H192" s="125">
        <v>5406.34</v>
      </c>
      <c r="J192" s="125">
        <v>11130</v>
      </c>
      <c r="K192" s="126"/>
      <c r="L192" s="125" t="s">
        <v>753</v>
      </c>
      <c r="M192" s="126">
        <v>45250</v>
      </c>
      <c r="W192" s="125">
        <v>2.202</v>
      </c>
      <c r="AD192" s="125" t="s">
        <v>277</v>
      </c>
      <c r="AF192" s="125" t="s">
        <v>712</v>
      </c>
      <c r="AG192" s="125" t="s">
        <v>711</v>
      </c>
      <c r="AL192" s="125" t="s">
        <v>708</v>
      </c>
      <c r="AM192" s="126">
        <v>45251</v>
      </c>
      <c r="AQ192" s="125">
        <v>30.431000000000001</v>
      </c>
      <c r="BA192" s="125" t="s">
        <v>408</v>
      </c>
      <c r="BB192" s="125">
        <v>5284483</v>
      </c>
    </row>
    <row r="193" spans="1:54" x14ac:dyDescent="0.3">
      <c r="A193" s="125" t="s">
        <v>294</v>
      </c>
      <c r="B193" s="125" t="s">
        <v>199</v>
      </c>
      <c r="C193" s="125" t="s">
        <v>56</v>
      </c>
      <c r="D193" s="125">
        <v>1</v>
      </c>
      <c r="E193" s="125">
        <v>3400.0070000000001</v>
      </c>
      <c r="F193" s="125">
        <v>2460</v>
      </c>
      <c r="G193" s="125">
        <v>200.00200000000001</v>
      </c>
      <c r="H193" s="125">
        <v>3959.82</v>
      </c>
      <c r="J193" s="125">
        <v>6140</v>
      </c>
      <c r="K193" s="126">
        <v>45159</v>
      </c>
      <c r="L193" s="125" t="s">
        <v>753</v>
      </c>
      <c r="M193" s="126">
        <v>45212</v>
      </c>
      <c r="W193" s="125">
        <v>1.61</v>
      </c>
      <c r="AD193" s="125" t="s">
        <v>277</v>
      </c>
      <c r="AF193" s="125" t="s">
        <v>711</v>
      </c>
      <c r="AG193" s="125" t="s">
        <v>710</v>
      </c>
      <c r="AL193" s="125" t="s">
        <v>708</v>
      </c>
      <c r="AM193" s="126">
        <v>45215</v>
      </c>
      <c r="AQ193" s="125">
        <v>31.757999999999999</v>
      </c>
      <c r="BA193" s="125" t="s">
        <v>772</v>
      </c>
      <c r="BB193" s="125">
        <v>5287951</v>
      </c>
    </row>
    <row r="194" spans="1:54" x14ac:dyDescent="0.3">
      <c r="A194" s="125" t="s">
        <v>294</v>
      </c>
      <c r="B194" s="125" t="s">
        <v>355</v>
      </c>
      <c r="C194" s="125" t="s">
        <v>57</v>
      </c>
      <c r="D194" s="125">
        <v>2</v>
      </c>
      <c r="E194" s="125">
        <v>3280.0070000000001</v>
      </c>
      <c r="F194" s="125">
        <v>2239.9989999999998</v>
      </c>
      <c r="G194" s="125">
        <v>545.00699999999995</v>
      </c>
      <c r="H194" s="125">
        <v>3435.98</v>
      </c>
      <c r="J194" s="125">
        <v>12020</v>
      </c>
      <c r="K194" s="126"/>
      <c r="L194" s="125" t="s">
        <v>753</v>
      </c>
      <c r="M194" s="126">
        <v>45254</v>
      </c>
      <c r="W194" s="125">
        <v>1.361</v>
      </c>
      <c r="AD194" s="125" t="s">
        <v>584</v>
      </c>
      <c r="AF194" s="125" t="s">
        <v>712</v>
      </c>
      <c r="AG194" s="125" t="s">
        <v>706</v>
      </c>
      <c r="AL194" s="125" t="s">
        <v>708</v>
      </c>
      <c r="AM194" s="126">
        <v>45257</v>
      </c>
      <c r="AQ194" s="125">
        <v>21.288</v>
      </c>
      <c r="BA194" s="125" t="s">
        <v>574</v>
      </c>
      <c r="BB194" s="125">
        <v>5316474</v>
      </c>
    </row>
    <row r="195" spans="1:54" x14ac:dyDescent="0.3">
      <c r="A195" s="125" t="s">
        <v>294</v>
      </c>
      <c r="B195" s="125" t="s">
        <v>315</v>
      </c>
      <c r="C195" s="125" t="s">
        <v>57</v>
      </c>
      <c r="D195" s="125">
        <v>2</v>
      </c>
      <c r="E195" s="125">
        <v>3280.0070000000001</v>
      </c>
      <c r="F195" s="125">
        <v>5165.0429999999997</v>
      </c>
      <c r="G195" s="125">
        <v>545.00599999999997</v>
      </c>
      <c r="H195" s="125">
        <v>6065.23</v>
      </c>
      <c r="J195" s="125">
        <v>9820</v>
      </c>
      <c r="K195" s="126"/>
      <c r="L195" s="125" t="s">
        <v>349</v>
      </c>
      <c r="M195" s="126">
        <v>45243</v>
      </c>
      <c r="W195" s="125">
        <v>2.39</v>
      </c>
      <c r="AD195" s="125" t="s">
        <v>584</v>
      </c>
      <c r="AF195" s="125" t="s">
        <v>706</v>
      </c>
      <c r="AG195" s="125" t="s">
        <v>713</v>
      </c>
      <c r="AL195" s="125" t="s">
        <v>708</v>
      </c>
      <c r="AM195" s="126">
        <v>45244</v>
      </c>
      <c r="AP195" s="125">
        <v>1</v>
      </c>
      <c r="AQ195" s="125">
        <v>39.823999999999998</v>
      </c>
      <c r="BA195" s="125" t="s">
        <v>589</v>
      </c>
      <c r="BB195" s="125">
        <v>5326581</v>
      </c>
    </row>
    <row r="196" spans="1:54" x14ac:dyDescent="0.3">
      <c r="A196" s="125" t="s">
        <v>294</v>
      </c>
      <c r="B196" s="125" t="s">
        <v>263</v>
      </c>
      <c r="C196" s="125" t="s">
        <v>56</v>
      </c>
      <c r="D196" s="125">
        <v>1</v>
      </c>
      <c r="E196" s="125">
        <v>3420.0070000000001</v>
      </c>
      <c r="F196" s="125">
        <v>4531</v>
      </c>
      <c r="G196" s="125">
        <v>200.03800000000001</v>
      </c>
      <c r="H196" s="125">
        <v>6032.18</v>
      </c>
      <c r="J196" s="125">
        <v>14540</v>
      </c>
      <c r="K196" s="126"/>
      <c r="L196" s="125" t="s">
        <v>278</v>
      </c>
      <c r="M196" s="126">
        <v>45271</v>
      </c>
      <c r="W196" s="125">
        <v>2.464</v>
      </c>
      <c r="AD196" s="125" t="s">
        <v>277</v>
      </c>
      <c r="AF196" s="125" t="s">
        <v>710</v>
      </c>
      <c r="AG196" s="125" t="s">
        <v>710</v>
      </c>
      <c r="AL196" s="125" t="s">
        <v>708</v>
      </c>
      <c r="AM196" s="126">
        <v>45272</v>
      </c>
      <c r="AQ196" s="125">
        <v>27.138000000000002</v>
      </c>
      <c r="BA196" s="125" t="s">
        <v>644</v>
      </c>
      <c r="BB196" s="125">
        <v>5332499</v>
      </c>
    </row>
    <row r="197" spans="1:54" x14ac:dyDescent="0.3">
      <c r="A197" s="125" t="s">
        <v>294</v>
      </c>
      <c r="B197" s="125" t="s">
        <v>210</v>
      </c>
      <c r="C197" s="125" t="s">
        <v>56</v>
      </c>
      <c r="D197" s="125">
        <v>4</v>
      </c>
      <c r="E197" s="125">
        <v>3130.0070000000001</v>
      </c>
      <c r="F197" s="125">
        <v>6609.9989999999998</v>
      </c>
      <c r="G197" s="125">
        <v>200.03700000000001</v>
      </c>
      <c r="H197" s="125">
        <v>8937.85</v>
      </c>
      <c r="J197" s="125">
        <v>12160</v>
      </c>
      <c r="K197" s="126"/>
      <c r="L197" s="125" t="s">
        <v>753</v>
      </c>
      <c r="M197" s="126">
        <v>45257</v>
      </c>
      <c r="W197" s="125">
        <v>3.6520000000000001</v>
      </c>
      <c r="AD197" s="125" t="s">
        <v>277</v>
      </c>
      <c r="AF197" s="125" t="s">
        <v>712</v>
      </c>
      <c r="AG197" s="125" t="s">
        <v>706</v>
      </c>
      <c r="AL197" s="125" t="s">
        <v>708</v>
      </c>
      <c r="AM197" s="126">
        <v>45258</v>
      </c>
      <c r="AQ197" s="125">
        <v>30.646000000000001</v>
      </c>
      <c r="BA197" s="125" t="s">
        <v>441</v>
      </c>
      <c r="BB197" s="125">
        <v>5284621</v>
      </c>
    </row>
    <row r="198" spans="1:54" x14ac:dyDescent="0.3">
      <c r="A198" s="125" t="s">
        <v>294</v>
      </c>
      <c r="B198" s="125" t="s">
        <v>203</v>
      </c>
      <c r="C198" s="125" t="s">
        <v>56</v>
      </c>
      <c r="D198" s="125">
        <v>4</v>
      </c>
      <c r="E198" s="125">
        <v>2920.0070000000001</v>
      </c>
      <c r="F198" s="125">
        <v>4560</v>
      </c>
      <c r="G198" s="125">
        <v>200.04</v>
      </c>
      <c r="H198" s="125">
        <v>6370.73</v>
      </c>
      <c r="J198" s="125">
        <v>11120</v>
      </c>
      <c r="K198" s="126"/>
      <c r="L198" s="125" t="s">
        <v>753</v>
      </c>
      <c r="M198" s="126">
        <v>45250</v>
      </c>
      <c r="W198" s="125">
        <v>2.5920000000000001</v>
      </c>
      <c r="AD198" s="125" t="s">
        <v>277</v>
      </c>
      <c r="AF198" s="125" t="s">
        <v>712</v>
      </c>
      <c r="AG198" s="125" t="s">
        <v>711</v>
      </c>
      <c r="AL198" s="125" t="s">
        <v>708</v>
      </c>
      <c r="AM198" s="126">
        <v>45251</v>
      </c>
      <c r="AQ198" s="125">
        <v>45.067999999999998</v>
      </c>
      <c r="BA198" s="125" t="s">
        <v>476</v>
      </c>
      <c r="BB198" s="125">
        <v>5284757</v>
      </c>
    </row>
    <row r="199" spans="1:54" x14ac:dyDescent="0.3">
      <c r="A199" s="125" t="s">
        <v>294</v>
      </c>
      <c r="B199" s="125" t="s">
        <v>327</v>
      </c>
      <c r="C199" s="125" t="s">
        <v>57</v>
      </c>
      <c r="D199" s="125">
        <v>1</v>
      </c>
      <c r="E199" s="125">
        <v>3280.0070000000001</v>
      </c>
      <c r="F199" s="125">
        <v>8090.0020000000004</v>
      </c>
      <c r="G199" s="125">
        <v>595</v>
      </c>
      <c r="H199" s="125">
        <v>8654.76</v>
      </c>
      <c r="J199" s="125">
        <v>10820</v>
      </c>
      <c r="K199" s="126"/>
      <c r="L199" s="125" t="s">
        <v>349</v>
      </c>
      <c r="M199" s="126">
        <v>45247</v>
      </c>
      <c r="W199" s="125">
        <v>3.38</v>
      </c>
      <c r="AD199" s="125" t="s">
        <v>584</v>
      </c>
      <c r="AF199" s="125" t="s">
        <v>712</v>
      </c>
      <c r="AG199" s="125" t="s">
        <v>711</v>
      </c>
      <c r="AL199" s="125" t="s">
        <v>280</v>
      </c>
      <c r="AM199" s="126">
        <v>45250</v>
      </c>
      <c r="AP199" s="125">
        <v>5</v>
      </c>
      <c r="AQ199" s="125">
        <v>49.936999999999998</v>
      </c>
      <c r="BA199" s="125" t="s">
        <v>559</v>
      </c>
      <c r="BB199" s="125">
        <v>5316447</v>
      </c>
    </row>
    <row r="200" spans="1:54" x14ac:dyDescent="0.3">
      <c r="A200" s="125" t="s">
        <v>294</v>
      </c>
      <c r="B200" s="125" t="s">
        <v>289</v>
      </c>
      <c r="C200" s="125" t="s">
        <v>56</v>
      </c>
      <c r="D200" s="125">
        <v>2</v>
      </c>
      <c r="E200" s="125">
        <v>1160</v>
      </c>
      <c r="F200" s="125">
        <v>6242</v>
      </c>
      <c r="G200" s="125">
        <v>140.001</v>
      </c>
      <c r="H200" s="125">
        <v>2491.33</v>
      </c>
      <c r="J200" s="125">
        <v>16200</v>
      </c>
      <c r="K200" s="126"/>
      <c r="L200" s="125" t="s">
        <v>278</v>
      </c>
      <c r="M200" s="126">
        <v>45292</v>
      </c>
      <c r="W200" s="125">
        <v>1.008</v>
      </c>
      <c r="AD200" s="125" t="s">
        <v>359</v>
      </c>
      <c r="AF200" s="125" t="s">
        <v>710</v>
      </c>
      <c r="AG200" s="125" t="s">
        <v>709</v>
      </c>
      <c r="AL200" s="125" t="s">
        <v>708</v>
      </c>
      <c r="AM200" s="126">
        <v>45287</v>
      </c>
      <c r="AQ200" s="125">
        <v>20.995000000000001</v>
      </c>
      <c r="BA200" s="125" t="s">
        <v>686</v>
      </c>
      <c r="BB200" s="125">
        <v>5327875</v>
      </c>
    </row>
    <row r="201" spans="1:54" x14ac:dyDescent="0.3">
      <c r="A201" s="125" t="s">
        <v>294</v>
      </c>
      <c r="B201" s="125" t="s">
        <v>273</v>
      </c>
      <c r="C201" s="125" t="s">
        <v>56</v>
      </c>
      <c r="D201" s="125">
        <v>1</v>
      </c>
      <c r="E201" s="125">
        <v>3400.0070000000001</v>
      </c>
      <c r="F201" s="125">
        <v>2460</v>
      </c>
      <c r="G201" s="125">
        <v>200.00200000000001</v>
      </c>
      <c r="H201" s="125">
        <v>3959.82</v>
      </c>
      <c r="J201" s="125">
        <v>14390</v>
      </c>
      <c r="K201" s="126"/>
      <c r="L201" s="125" t="s">
        <v>753</v>
      </c>
      <c r="M201" s="126">
        <v>45271</v>
      </c>
      <c r="W201" s="125">
        <v>1.61</v>
      </c>
      <c r="AD201" s="125" t="s">
        <v>277</v>
      </c>
      <c r="AF201" s="125" t="s">
        <v>710</v>
      </c>
      <c r="AG201" s="125" t="s">
        <v>710</v>
      </c>
      <c r="AL201" s="125" t="s">
        <v>708</v>
      </c>
      <c r="AM201" s="126">
        <v>45272</v>
      </c>
      <c r="AQ201" s="125">
        <v>31.757999999999999</v>
      </c>
      <c r="BA201" s="125" t="s">
        <v>635</v>
      </c>
      <c r="BB201" s="125">
        <v>5332474</v>
      </c>
    </row>
    <row r="202" spans="1:54" x14ac:dyDescent="0.3">
      <c r="A202" s="125" t="s">
        <v>294</v>
      </c>
      <c r="B202" s="125" t="s">
        <v>337</v>
      </c>
      <c r="C202" s="125" t="s">
        <v>57</v>
      </c>
      <c r="D202" s="125">
        <v>1</v>
      </c>
      <c r="E202" s="125">
        <v>3780.0039999999999</v>
      </c>
      <c r="F202" s="125">
        <v>4409.973</v>
      </c>
      <c r="G202" s="125">
        <v>595.01099999999997</v>
      </c>
      <c r="H202" s="125">
        <v>6805.63</v>
      </c>
      <c r="J202" s="125">
        <v>14210</v>
      </c>
      <c r="K202" s="126"/>
      <c r="L202" s="125" t="s">
        <v>349</v>
      </c>
      <c r="M202" s="126">
        <v>45268</v>
      </c>
      <c r="W202" s="125">
        <v>2.6280000000000001</v>
      </c>
      <c r="AD202" s="125" t="s">
        <v>584</v>
      </c>
      <c r="AF202" s="125" t="s">
        <v>710</v>
      </c>
      <c r="AG202" s="125" t="s">
        <v>710</v>
      </c>
      <c r="AL202" s="125" t="s">
        <v>708</v>
      </c>
      <c r="AM202" s="126">
        <v>45271</v>
      </c>
      <c r="AP202" s="125">
        <v>1</v>
      </c>
      <c r="AQ202" s="125">
        <v>31.347999999999999</v>
      </c>
      <c r="BA202" s="125" t="s">
        <v>582</v>
      </c>
      <c r="BB202" s="125">
        <v>5316494</v>
      </c>
    </row>
    <row r="203" spans="1:54" x14ac:dyDescent="0.3">
      <c r="A203" s="125" t="s">
        <v>294</v>
      </c>
      <c r="B203" s="125" t="s">
        <v>258</v>
      </c>
      <c r="C203" s="125" t="s">
        <v>56</v>
      </c>
      <c r="D203" s="125">
        <v>1</v>
      </c>
      <c r="E203" s="125">
        <v>2920.0070000000001</v>
      </c>
      <c r="F203" s="125">
        <v>4145</v>
      </c>
      <c r="G203" s="125">
        <v>200.00299999999999</v>
      </c>
      <c r="H203" s="125">
        <v>5881.74</v>
      </c>
      <c r="J203" s="125">
        <v>15450</v>
      </c>
      <c r="K203" s="126"/>
      <c r="L203" s="125" t="s">
        <v>753</v>
      </c>
      <c r="M203" s="126">
        <v>45275</v>
      </c>
      <c r="W203" s="125">
        <v>2.4060000000000001</v>
      </c>
      <c r="AD203" s="125" t="s">
        <v>277</v>
      </c>
      <c r="AF203" s="125" t="s">
        <v>710</v>
      </c>
      <c r="AG203" s="125" t="s">
        <v>707</v>
      </c>
      <c r="AL203" s="125" t="s">
        <v>708</v>
      </c>
      <c r="AM203" s="126">
        <v>45278</v>
      </c>
      <c r="AQ203" s="125">
        <v>16.350000000000001</v>
      </c>
      <c r="BA203" s="125" t="s">
        <v>660</v>
      </c>
      <c r="BB203" s="125">
        <v>5332484</v>
      </c>
    </row>
    <row r="204" spans="1:54" x14ac:dyDescent="0.3">
      <c r="A204" s="125" t="s">
        <v>294</v>
      </c>
      <c r="B204" s="125" t="s">
        <v>200</v>
      </c>
      <c r="C204" s="125" t="s">
        <v>56</v>
      </c>
      <c r="D204" s="125">
        <v>1</v>
      </c>
      <c r="E204" s="125">
        <v>2920.0070000000001</v>
      </c>
      <c r="F204" s="125">
        <v>3845</v>
      </c>
      <c r="G204" s="125">
        <v>200.00299999999999</v>
      </c>
      <c r="H204" s="125">
        <v>5400.99</v>
      </c>
      <c r="J204" s="125">
        <v>15470</v>
      </c>
      <c r="K204" s="126"/>
      <c r="L204" s="125" t="s">
        <v>753</v>
      </c>
      <c r="M204" s="126">
        <v>45278</v>
      </c>
      <c r="W204" s="125">
        <v>2.202</v>
      </c>
      <c r="AD204" s="125" t="s">
        <v>277</v>
      </c>
      <c r="AF204" s="125" t="s">
        <v>710</v>
      </c>
      <c r="AG204" s="125" t="s">
        <v>707</v>
      </c>
      <c r="AL204" s="125" t="s">
        <v>708</v>
      </c>
      <c r="AM204" s="126">
        <v>45279</v>
      </c>
      <c r="AQ204" s="125">
        <v>30.567</v>
      </c>
      <c r="BA204" s="125" t="s">
        <v>676</v>
      </c>
      <c r="BB204" s="125">
        <v>5332501</v>
      </c>
    </row>
    <row r="205" spans="1:54" x14ac:dyDescent="0.3">
      <c r="A205" s="125" t="s">
        <v>294</v>
      </c>
      <c r="B205" s="125" t="s">
        <v>205</v>
      </c>
      <c r="C205" s="125" t="s">
        <v>56</v>
      </c>
      <c r="D205" s="125">
        <v>4</v>
      </c>
      <c r="E205" s="125">
        <v>3130.0070000000001</v>
      </c>
      <c r="F205" s="125">
        <v>2081.0010000000002</v>
      </c>
      <c r="G205" s="125">
        <v>200.00399999999999</v>
      </c>
      <c r="H205" s="125">
        <v>3124.13</v>
      </c>
      <c r="J205" s="125">
        <v>12120</v>
      </c>
      <c r="K205" s="126"/>
      <c r="L205" s="125" t="s">
        <v>278</v>
      </c>
      <c r="M205" s="126">
        <v>45254</v>
      </c>
      <c r="W205" s="125">
        <v>1.272</v>
      </c>
      <c r="AD205" s="125" t="s">
        <v>277</v>
      </c>
      <c r="AF205" s="125" t="s">
        <v>712</v>
      </c>
      <c r="AG205" s="125" t="s">
        <v>706</v>
      </c>
      <c r="AL205" s="125" t="s">
        <v>708</v>
      </c>
      <c r="AM205" s="126">
        <v>45257</v>
      </c>
      <c r="AQ205" s="125">
        <v>20.077999999999999</v>
      </c>
      <c r="BA205" s="125" t="s">
        <v>480</v>
      </c>
      <c r="BB205" s="125">
        <v>5284776</v>
      </c>
    </row>
    <row r="206" spans="1:54" x14ac:dyDescent="0.3">
      <c r="A206" s="125" t="s">
        <v>294</v>
      </c>
      <c r="B206" s="125" t="s">
        <v>269</v>
      </c>
      <c r="C206" s="125" t="s">
        <v>56</v>
      </c>
      <c r="D206" s="125">
        <v>4</v>
      </c>
      <c r="E206" s="125">
        <v>2920</v>
      </c>
      <c r="F206" s="125">
        <v>2531</v>
      </c>
      <c r="G206" s="125">
        <v>200.001</v>
      </c>
      <c r="H206" s="125">
        <v>3588.59</v>
      </c>
      <c r="J206" s="125">
        <v>10060</v>
      </c>
      <c r="K206" s="126"/>
      <c r="L206" s="125" t="s">
        <v>278</v>
      </c>
      <c r="M206" s="126">
        <v>45244</v>
      </c>
      <c r="W206" s="125">
        <v>1.4670000000000001</v>
      </c>
      <c r="AD206" s="125" t="s">
        <v>277</v>
      </c>
      <c r="AF206" s="125" t="s">
        <v>706</v>
      </c>
      <c r="AG206" s="125" t="s">
        <v>713</v>
      </c>
      <c r="AL206" s="125" t="s">
        <v>708</v>
      </c>
      <c r="AM206" s="126">
        <v>45245</v>
      </c>
      <c r="AQ206" s="125">
        <v>10.656000000000001</v>
      </c>
      <c r="BA206" s="125" t="s">
        <v>428</v>
      </c>
      <c r="BB206" s="125">
        <v>5284568</v>
      </c>
    </row>
    <row r="207" spans="1:54" x14ac:dyDescent="0.3">
      <c r="A207" s="125" t="s">
        <v>294</v>
      </c>
      <c r="B207" s="125" t="s">
        <v>533</v>
      </c>
      <c r="C207" s="125" t="s">
        <v>57</v>
      </c>
      <c r="D207" s="125">
        <v>1</v>
      </c>
      <c r="E207" s="125">
        <v>3270.0070000000001</v>
      </c>
      <c r="F207" s="125">
        <v>6234.9930000000004</v>
      </c>
      <c r="G207" s="125">
        <v>595.00099999999998</v>
      </c>
      <c r="H207" s="125">
        <v>7530.96</v>
      </c>
      <c r="J207" s="125">
        <v>8680</v>
      </c>
      <c r="K207" s="126"/>
      <c r="L207" s="125" t="s">
        <v>349</v>
      </c>
      <c r="M207" s="126">
        <v>45236</v>
      </c>
      <c r="W207" s="125">
        <v>2.9289999999999998</v>
      </c>
      <c r="AD207" s="125" t="s">
        <v>584</v>
      </c>
      <c r="AF207" s="125" t="s">
        <v>706</v>
      </c>
      <c r="AG207" s="125" t="s">
        <v>755</v>
      </c>
      <c r="AL207" s="125" t="s">
        <v>708</v>
      </c>
      <c r="AM207" s="126">
        <v>45237</v>
      </c>
      <c r="AP207" s="125">
        <v>2</v>
      </c>
      <c r="AQ207" s="125">
        <v>32.78</v>
      </c>
      <c r="BA207" s="125" t="s">
        <v>532</v>
      </c>
      <c r="BB207" s="125">
        <v>5312256</v>
      </c>
    </row>
    <row r="208" spans="1:54" x14ac:dyDescent="0.3">
      <c r="A208" s="125" t="s">
        <v>294</v>
      </c>
      <c r="B208" s="125" t="s">
        <v>354</v>
      </c>
      <c r="C208" s="125" t="s">
        <v>57</v>
      </c>
      <c r="D208" s="125">
        <v>2</v>
      </c>
      <c r="E208" s="125">
        <v>3280.0059999999999</v>
      </c>
      <c r="F208" s="125">
        <v>5464.9859999999999</v>
      </c>
      <c r="G208" s="125">
        <v>595.00099999999998</v>
      </c>
      <c r="H208" s="125">
        <v>7355.5</v>
      </c>
      <c r="J208" s="125">
        <v>11980</v>
      </c>
      <c r="K208" s="126"/>
      <c r="L208" s="125" t="s">
        <v>349</v>
      </c>
      <c r="M208" s="126">
        <v>45254</v>
      </c>
      <c r="W208" s="125">
        <v>2.8410000000000002</v>
      </c>
      <c r="AD208" s="125" t="s">
        <v>744</v>
      </c>
      <c r="AF208" s="125" t="s">
        <v>712</v>
      </c>
      <c r="AG208" s="125" t="s">
        <v>706</v>
      </c>
      <c r="AL208" s="125" t="s">
        <v>708</v>
      </c>
      <c r="AM208" s="126">
        <v>45257</v>
      </c>
      <c r="AP208" s="125">
        <v>2</v>
      </c>
      <c r="AQ208" s="125">
        <v>34.424999999999997</v>
      </c>
      <c r="BA208" s="125" t="s">
        <v>576</v>
      </c>
      <c r="BB208" s="125">
        <v>5316477</v>
      </c>
    </row>
    <row r="209" spans="1:54" x14ac:dyDescent="0.3">
      <c r="A209" s="125" t="s">
        <v>294</v>
      </c>
      <c r="B209" s="125" t="s">
        <v>145</v>
      </c>
      <c r="C209" s="125" t="s">
        <v>56</v>
      </c>
      <c r="D209" s="125">
        <v>3</v>
      </c>
      <c r="E209" s="125">
        <v>3130.0010000000002</v>
      </c>
      <c r="F209" s="125">
        <v>5481.0010000000002</v>
      </c>
      <c r="G209" s="125">
        <v>200.02500000000001</v>
      </c>
      <c r="H209" s="125">
        <v>7195.27</v>
      </c>
      <c r="J209" s="125">
        <v>13390</v>
      </c>
      <c r="K209" s="126"/>
      <c r="L209" s="125" t="s">
        <v>278</v>
      </c>
      <c r="M209" s="126">
        <v>45264</v>
      </c>
      <c r="W209" s="125">
        <v>2.931</v>
      </c>
      <c r="AD209" s="125" t="s">
        <v>277</v>
      </c>
      <c r="AF209" s="125" t="s">
        <v>710</v>
      </c>
      <c r="AG209" s="125" t="s">
        <v>712</v>
      </c>
      <c r="AL209" s="125" t="s">
        <v>708</v>
      </c>
      <c r="AM209" s="126">
        <v>45265</v>
      </c>
      <c r="AQ209" s="125">
        <v>33.822000000000003</v>
      </c>
      <c r="BA209" s="125" t="s">
        <v>454</v>
      </c>
      <c r="BB209" s="125">
        <v>5284675</v>
      </c>
    </row>
    <row r="210" spans="1:54" x14ac:dyDescent="0.3">
      <c r="A210" s="125" t="s">
        <v>294</v>
      </c>
      <c r="B210" s="125" t="s">
        <v>187</v>
      </c>
      <c r="C210" s="125" t="s">
        <v>56</v>
      </c>
      <c r="D210" s="125">
        <v>4</v>
      </c>
      <c r="E210" s="125">
        <v>2920.0070000000001</v>
      </c>
      <c r="F210" s="125">
        <v>4145</v>
      </c>
      <c r="G210" s="125">
        <v>200.00299999999999</v>
      </c>
      <c r="H210" s="125">
        <v>5884.73</v>
      </c>
      <c r="J210" s="125">
        <v>12230</v>
      </c>
      <c r="K210" s="126"/>
      <c r="L210" s="125" t="s">
        <v>753</v>
      </c>
      <c r="M210" s="126">
        <v>45257</v>
      </c>
      <c r="W210" s="125">
        <v>2.4060000000000001</v>
      </c>
      <c r="AD210" s="125" t="s">
        <v>277</v>
      </c>
      <c r="AF210" s="125" t="s">
        <v>712</v>
      </c>
      <c r="AG210" s="125" t="s">
        <v>706</v>
      </c>
      <c r="AL210" s="125" t="s">
        <v>708</v>
      </c>
      <c r="AM210" s="126">
        <v>45258</v>
      </c>
      <c r="AQ210" s="125">
        <v>16.251000000000001</v>
      </c>
      <c r="BA210" s="125" t="s">
        <v>478</v>
      </c>
      <c r="BB210" s="125">
        <v>5284770</v>
      </c>
    </row>
    <row r="211" spans="1:54" x14ac:dyDescent="0.3">
      <c r="A211" s="125" t="s">
        <v>294</v>
      </c>
      <c r="B211" s="125" t="s">
        <v>330</v>
      </c>
      <c r="C211" s="125" t="s">
        <v>57</v>
      </c>
      <c r="D211" s="125">
        <v>4</v>
      </c>
      <c r="E211" s="125">
        <v>3280.0219999999999</v>
      </c>
      <c r="F211" s="125">
        <v>6170.0129999999999</v>
      </c>
      <c r="G211" s="125">
        <v>595</v>
      </c>
      <c r="H211" s="125">
        <v>7075.69</v>
      </c>
      <c r="J211" s="125">
        <v>9810</v>
      </c>
      <c r="K211" s="126"/>
      <c r="L211" s="125" t="s">
        <v>348</v>
      </c>
      <c r="M211" s="126">
        <v>45243</v>
      </c>
      <c r="W211" s="125">
        <v>2.8</v>
      </c>
      <c r="AD211" s="125" t="s">
        <v>584</v>
      </c>
      <c r="AF211" s="125" t="s">
        <v>706</v>
      </c>
      <c r="AG211" s="125" t="s">
        <v>713</v>
      </c>
      <c r="AL211" s="125" t="s">
        <v>708</v>
      </c>
      <c r="AM211" s="126">
        <v>45244</v>
      </c>
      <c r="AP211" s="125">
        <v>2</v>
      </c>
      <c r="AQ211" s="125">
        <v>33.588999999999999</v>
      </c>
      <c r="BA211" s="125" t="s">
        <v>591</v>
      </c>
      <c r="BB211" s="125">
        <v>5326587</v>
      </c>
    </row>
    <row r="212" spans="1:54" x14ac:dyDescent="0.3">
      <c r="A212" s="125" t="s">
        <v>294</v>
      </c>
      <c r="B212" s="125" t="s">
        <v>204</v>
      </c>
      <c r="C212" s="125" t="s">
        <v>56</v>
      </c>
      <c r="D212" s="125">
        <v>4</v>
      </c>
      <c r="E212" s="125">
        <v>3130.0010000000002</v>
      </c>
      <c r="F212" s="125">
        <v>2302</v>
      </c>
      <c r="G212" s="125">
        <v>200.00200000000001</v>
      </c>
      <c r="H212" s="125">
        <v>3472.23</v>
      </c>
      <c r="J212" s="125">
        <v>13310</v>
      </c>
      <c r="K212" s="126"/>
      <c r="L212" s="125" t="s">
        <v>278</v>
      </c>
      <c r="M212" s="126">
        <v>45264</v>
      </c>
      <c r="W212" s="125">
        <v>1.417</v>
      </c>
      <c r="AD212" s="125" t="s">
        <v>277</v>
      </c>
      <c r="AF212" s="125" t="s">
        <v>710</v>
      </c>
      <c r="AG212" s="125" t="s">
        <v>712</v>
      </c>
      <c r="AL212" s="125" t="s">
        <v>708</v>
      </c>
      <c r="AM212" s="126">
        <v>45265</v>
      </c>
      <c r="AQ212" s="125">
        <v>13.683999999999999</v>
      </c>
      <c r="BA212" s="125" t="s">
        <v>465</v>
      </c>
      <c r="BB212" s="125">
        <v>5284700</v>
      </c>
    </row>
    <row r="213" spans="1:54" x14ac:dyDescent="0.3">
      <c r="A213" s="125" t="s">
        <v>294</v>
      </c>
      <c r="B213" s="125" t="s">
        <v>338</v>
      </c>
      <c r="C213" s="125" t="s">
        <v>57</v>
      </c>
      <c r="D213" s="125">
        <v>2</v>
      </c>
      <c r="E213" s="125">
        <v>3130.0039999999999</v>
      </c>
      <c r="F213" s="125">
        <v>3405.0079999999998</v>
      </c>
      <c r="G213" s="125">
        <v>545.01300000000003</v>
      </c>
      <c r="H213" s="125">
        <v>6374.18</v>
      </c>
      <c r="J213" s="125">
        <v>7050</v>
      </c>
      <c r="K213" s="126"/>
      <c r="L213" s="125" t="s">
        <v>348</v>
      </c>
      <c r="M213" s="126">
        <v>45219</v>
      </c>
      <c r="W213" s="125">
        <v>2.5270000000000001</v>
      </c>
      <c r="AD213" s="125" t="s">
        <v>584</v>
      </c>
      <c r="AF213" s="125" t="s">
        <v>711</v>
      </c>
      <c r="AG213" s="125" t="s">
        <v>707</v>
      </c>
      <c r="AL213" s="125" t="s">
        <v>708</v>
      </c>
      <c r="AM213" s="126">
        <v>45222</v>
      </c>
      <c r="AQ213" s="125">
        <v>46.869</v>
      </c>
      <c r="BA213" s="125" t="s">
        <v>385</v>
      </c>
      <c r="BB213" s="125">
        <v>5161615</v>
      </c>
    </row>
    <row r="214" spans="1:54" x14ac:dyDescent="0.3">
      <c r="A214" s="125" t="s">
        <v>294</v>
      </c>
      <c r="B214" s="125" t="s">
        <v>325</v>
      </c>
      <c r="C214" s="125" t="s">
        <v>57</v>
      </c>
      <c r="D214" s="125">
        <v>2</v>
      </c>
      <c r="E214" s="125">
        <v>3280.0070000000001</v>
      </c>
      <c r="F214" s="125">
        <v>6410.0150000000003</v>
      </c>
      <c r="G214" s="125">
        <v>595.00900000000001</v>
      </c>
      <c r="H214" s="125">
        <v>7864.83</v>
      </c>
      <c r="J214" s="125">
        <v>12050</v>
      </c>
      <c r="K214" s="126"/>
      <c r="L214" s="125" t="s">
        <v>349</v>
      </c>
      <c r="M214" s="126">
        <v>45254</v>
      </c>
      <c r="W214" s="125">
        <v>3.0609999999999999</v>
      </c>
      <c r="AD214" s="125" t="s">
        <v>584</v>
      </c>
      <c r="AF214" s="125" t="s">
        <v>712</v>
      </c>
      <c r="AG214" s="125" t="s">
        <v>706</v>
      </c>
      <c r="AL214" s="125" t="s">
        <v>708</v>
      </c>
      <c r="AM214" s="126">
        <v>45257</v>
      </c>
      <c r="AP214" s="125">
        <v>2</v>
      </c>
      <c r="AQ214" s="125">
        <v>33.289000000000001</v>
      </c>
      <c r="BA214" s="125" t="s">
        <v>563</v>
      </c>
      <c r="BB214" s="125">
        <v>5316460</v>
      </c>
    </row>
    <row r="215" spans="1:54" x14ac:dyDescent="0.3">
      <c r="A215" s="125" t="s">
        <v>294</v>
      </c>
      <c r="B215" s="125" t="s">
        <v>204</v>
      </c>
      <c r="C215" s="125" t="s">
        <v>56</v>
      </c>
      <c r="D215" s="125">
        <v>4</v>
      </c>
      <c r="E215" s="125">
        <v>3130.0010000000002</v>
      </c>
      <c r="F215" s="125">
        <v>2302</v>
      </c>
      <c r="G215" s="125">
        <v>200.00200000000001</v>
      </c>
      <c r="H215" s="125">
        <v>3472.23</v>
      </c>
      <c r="J215" s="125">
        <v>9880</v>
      </c>
      <c r="K215" s="126"/>
      <c r="L215" s="125" t="s">
        <v>278</v>
      </c>
      <c r="M215" s="126">
        <v>45243</v>
      </c>
      <c r="W215" s="125">
        <v>1.417</v>
      </c>
      <c r="AD215" s="125" t="s">
        <v>277</v>
      </c>
      <c r="AF215" s="125" t="s">
        <v>706</v>
      </c>
      <c r="AG215" s="125" t="s">
        <v>713</v>
      </c>
      <c r="AL215" s="125" t="s">
        <v>708</v>
      </c>
      <c r="AM215" s="126">
        <v>45244</v>
      </c>
      <c r="AQ215" s="125">
        <v>13.683999999999999</v>
      </c>
      <c r="BA215" s="125" t="s">
        <v>423</v>
      </c>
      <c r="BB215" s="125">
        <v>5284547</v>
      </c>
    </row>
    <row r="216" spans="1:54" x14ac:dyDescent="0.3">
      <c r="A216" s="125" t="s">
        <v>294</v>
      </c>
      <c r="B216" s="125" t="s">
        <v>332</v>
      </c>
      <c r="C216" s="125" t="s">
        <v>57</v>
      </c>
      <c r="D216" s="125">
        <v>2</v>
      </c>
      <c r="E216" s="125">
        <v>3280.0079999999998</v>
      </c>
      <c r="F216" s="125">
        <v>3094.971</v>
      </c>
      <c r="G216" s="125">
        <v>595</v>
      </c>
      <c r="H216" s="125">
        <v>4258.04</v>
      </c>
      <c r="J216" s="125">
        <v>10860</v>
      </c>
      <c r="K216" s="126"/>
      <c r="L216" s="125" t="s">
        <v>349</v>
      </c>
      <c r="M216" s="126">
        <v>45247</v>
      </c>
      <c r="W216" s="125">
        <v>1.679</v>
      </c>
      <c r="AD216" s="125" t="s">
        <v>584</v>
      </c>
      <c r="AF216" s="125" t="s">
        <v>712</v>
      </c>
      <c r="AG216" s="125" t="s">
        <v>711</v>
      </c>
      <c r="AL216" s="125" t="s">
        <v>708</v>
      </c>
      <c r="AM216" s="126">
        <v>45250</v>
      </c>
      <c r="AQ216" s="125">
        <v>25.236000000000001</v>
      </c>
      <c r="BA216" s="125" t="s">
        <v>609</v>
      </c>
      <c r="BB216" s="125">
        <v>5333171</v>
      </c>
    </row>
    <row r="217" spans="1:54" x14ac:dyDescent="0.3">
      <c r="A217" s="125" t="s">
        <v>294</v>
      </c>
      <c r="B217" s="125" t="s">
        <v>138</v>
      </c>
      <c r="C217" s="125" t="s">
        <v>56</v>
      </c>
      <c r="D217" s="125">
        <v>4</v>
      </c>
      <c r="E217" s="125">
        <v>3130.0070000000001</v>
      </c>
      <c r="F217" s="125">
        <v>4230</v>
      </c>
      <c r="G217" s="125">
        <v>200.03700000000001</v>
      </c>
      <c r="H217" s="125">
        <v>5199.1400000000003</v>
      </c>
      <c r="J217" s="125">
        <v>12170</v>
      </c>
      <c r="K217" s="126"/>
      <c r="L217" s="125" t="s">
        <v>753</v>
      </c>
      <c r="M217" s="126">
        <v>45257</v>
      </c>
      <c r="W217" s="125">
        <v>2.113</v>
      </c>
      <c r="AD217" s="125" t="s">
        <v>277</v>
      </c>
      <c r="AF217" s="125" t="s">
        <v>712</v>
      </c>
      <c r="AG217" s="125" t="s">
        <v>706</v>
      </c>
      <c r="AL217" s="125" t="s">
        <v>708</v>
      </c>
      <c r="AM217" s="126">
        <v>45258</v>
      </c>
      <c r="AQ217" s="125">
        <v>33.323</v>
      </c>
      <c r="BA217" s="125" t="s">
        <v>447</v>
      </c>
      <c r="BB217" s="125">
        <v>5284641</v>
      </c>
    </row>
    <row r="218" spans="1:54" x14ac:dyDescent="0.3">
      <c r="A218" s="125" t="s">
        <v>294</v>
      </c>
      <c r="B218" s="125" t="s">
        <v>297</v>
      </c>
      <c r="C218" s="125" t="s">
        <v>57</v>
      </c>
      <c r="D218" s="125">
        <v>1</v>
      </c>
      <c r="E218" s="125">
        <v>3270.0070000000001</v>
      </c>
      <c r="F218" s="125">
        <v>5135.018</v>
      </c>
      <c r="G218" s="125">
        <v>595</v>
      </c>
      <c r="H218" s="125">
        <v>6608.59</v>
      </c>
      <c r="J218" s="125">
        <v>8660</v>
      </c>
      <c r="K218" s="126"/>
      <c r="L218" s="125" t="s">
        <v>349</v>
      </c>
      <c r="M218" s="126">
        <v>45236</v>
      </c>
      <c r="W218" s="125">
        <v>2.6120000000000001</v>
      </c>
      <c r="AD218" s="125" t="s">
        <v>584</v>
      </c>
      <c r="AF218" s="125" t="s">
        <v>706</v>
      </c>
      <c r="AG218" s="125" t="s">
        <v>755</v>
      </c>
      <c r="AL218" s="125" t="s">
        <v>708</v>
      </c>
      <c r="AM218" s="126">
        <v>45237</v>
      </c>
      <c r="AP218" s="125">
        <v>1</v>
      </c>
      <c r="AQ218" s="125">
        <v>17.635999999999999</v>
      </c>
      <c r="BA218" s="125" t="s">
        <v>542</v>
      </c>
      <c r="BB218" s="125">
        <v>5312285</v>
      </c>
    </row>
    <row r="219" spans="1:54" x14ac:dyDescent="0.3">
      <c r="A219" s="125" t="s">
        <v>294</v>
      </c>
      <c r="B219" s="125" t="s">
        <v>160</v>
      </c>
      <c r="C219" s="125" t="s">
        <v>56</v>
      </c>
      <c r="D219" s="125">
        <v>1</v>
      </c>
      <c r="E219" s="125">
        <v>3130</v>
      </c>
      <c r="F219" s="125">
        <v>3834.9989999999998</v>
      </c>
      <c r="G219" s="125">
        <v>200.023</v>
      </c>
      <c r="H219" s="125">
        <v>4733.68</v>
      </c>
      <c r="J219" s="125">
        <v>8890</v>
      </c>
      <c r="K219" s="126"/>
      <c r="L219" s="125" t="s">
        <v>753</v>
      </c>
      <c r="M219" s="126">
        <v>45237</v>
      </c>
      <c r="W219" s="125">
        <v>1.921</v>
      </c>
      <c r="AD219" s="125" t="s">
        <v>293</v>
      </c>
      <c r="AF219" s="125" t="s">
        <v>706</v>
      </c>
      <c r="AG219" s="125" t="s">
        <v>755</v>
      </c>
      <c r="AL219" s="125" t="s">
        <v>708</v>
      </c>
      <c r="AM219" s="126">
        <v>45238</v>
      </c>
      <c r="AP219" s="125">
        <v>1</v>
      </c>
      <c r="AQ219" s="125">
        <v>23.611999999999998</v>
      </c>
      <c r="BA219" s="125" t="s">
        <v>537</v>
      </c>
      <c r="BB219" s="125">
        <v>5312265</v>
      </c>
    </row>
    <row r="220" spans="1:54" x14ac:dyDescent="0.3">
      <c r="A220" s="125" t="s">
        <v>294</v>
      </c>
      <c r="B220" s="125" t="s">
        <v>384</v>
      </c>
      <c r="C220" s="125" t="s">
        <v>57</v>
      </c>
      <c r="D220" s="125">
        <v>2</v>
      </c>
      <c r="E220" s="125">
        <v>3280.01</v>
      </c>
      <c r="F220" s="125">
        <v>4679.9870000000001</v>
      </c>
      <c r="G220" s="125">
        <v>595.01099999999997</v>
      </c>
      <c r="H220" s="125">
        <v>5558.11</v>
      </c>
      <c r="J220" s="125">
        <v>10840</v>
      </c>
      <c r="K220" s="126">
        <v>45149</v>
      </c>
      <c r="L220" s="125" t="s">
        <v>349</v>
      </c>
      <c r="M220" s="126">
        <v>45247</v>
      </c>
      <c r="W220" s="125">
        <v>2.1720000000000002</v>
      </c>
      <c r="AD220" s="125" t="s">
        <v>584</v>
      </c>
      <c r="AF220" s="125" t="s">
        <v>712</v>
      </c>
      <c r="AG220" s="125" t="s">
        <v>711</v>
      </c>
      <c r="AL220" s="125" t="s">
        <v>708</v>
      </c>
      <c r="AM220" s="126">
        <v>45250</v>
      </c>
      <c r="AP220" s="125">
        <v>1</v>
      </c>
      <c r="AQ220" s="125">
        <v>22.518999999999998</v>
      </c>
      <c r="BA220" s="125" t="s">
        <v>573</v>
      </c>
      <c r="BB220" s="125">
        <v>5316473</v>
      </c>
    </row>
    <row r="221" spans="1:54" x14ac:dyDescent="0.3">
      <c r="A221" s="125" t="s">
        <v>294</v>
      </c>
      <c r="B221" s="125" t="s">
        <v>299</v>
      </c>
      <c r="C221" s="125" t="s">
        <v>57</v>
      </c>
      <c r="D221" s="125">
        <v>1</v>
      </c>
      <c r="E221" s="125">
        <v>3500.0010000000002</v>
      </c>
      <c r="F221" s="125">
        <v>6340.0060000000003</v>
      </c>
      <c r="G221" s="125">
        <v>595.02300000000002</v>
      </c>
      <c r="H221" s="125">
        <v>10127.799999999999</v>
      </c>
      <c r="J221" s="125">
        <v>9840</v>
      </c>
      <c r="K221" s="126"/>
      <c r="L221" s="125" t="s">
        <v>349</v>
      </c>
      <c r="M221" s="126">
        <v>45243</v>
      </c>
      <c r="W221" s="125">
        <v>4.0060000000000002</v>
      </c>
      <c r="AD221" s="125" t="s">
        <v>744</v>
      </c>
      <c r="AF221" s="125" t="s">
        <v>706</v>
      </c>
      <c r="AG221" s="125" t="s">
        <v>713</v>
      </c>
      <c r="AL221" s="125" t="s">
        <v>708</v>
      </c>
      <c r="AM221" s="126">
        <v>45244</v>
      </c>
      <c r="AQ221" s="125">
        <v>80.453000000000003</v>
      </c>
      <c r="BA221" s="125" t="s">
        <v>579</v>
      </c>
      <c r="BB221" s="125">
        <v>5316480</v>
      </c>
    </row>
    <row r="222" spans="1:54" x14ac:dyDescent="0.3">
      <c r="A222" s="125" t="s">
        <v>294</v>
      </c>
      <c r="B222" s="125" t="s">
        <v>212</v>
      </c>
      <c r="C222" s="125" t="s">
        <v>56</v>
      </c>
      <c r="D222" s="125">
        <v>4</v>
      </c>
      <c r="E222" s="125">
        <v>3130</v>
      </c>
      <c r="F222" s="125">
        <v>1560</v>
      </c>
      <c r="G222" s="125">
        <v>200</v>
      </c>
      <c r="H222" s="125">
        <v>2369.6799999999998</v>
      </c>
      <c r="J222" s="125">
        <v>12330</v>
      </c>
      <c r="K222" s="126"/>
      <c r="L222" s="125" t="s">
        <v>753</v>
      </c>
      <c r="M222" s="126">
        <v>45257</v>
      </c>
      <c r="W222" s="125">
        <v>0.96899999999999997</v>
      </c>
      <c r="AD222" s="125" t="s">
        <v>277</v>
      </c>
      <c r="AF222" s="125" t="s">
        <v>712</v>
      </c>
      <c r="AG222" s="125" t="s">
        <v>706</v>
      </c>
      <c r="AL222" s="125" t="s">
        <v>708</v>
      </c>
      <c r="AM222" s="126">
        <v>45258</v>
      </c>
      <c r="AQ222" s="125">
        <v>5.7160000000000002</v>
      </c>
      <c r="BA222" s="125" t="s">
        <v>469</v>
      </c>
      <c r="BB222" s="125">
        <v>5284720</v>
      </c>
    </row>
    <row r="223" spans="1:54" x14ac:dyDescent="0.3">
      <c r="A223" s="125" t="s">
        <v>294</v>
      </c>
      <c r="B223" s="125" t="s">
        <v>363</v>
      </c>
      <c r="C223" s="125" t="s">
        <v>56</v>
      </c>
      <c r="D223" s="125">
        <v>1</v>
      </c>
      <c r="E223" s="125">
        <v>1160</v>
      </c>
      <c r="F223" s="125">
        <v>4679.9160000000002</v>
      </c>
      <c r="G223" s="125">
        <v>140</v>
      </c>
      <c r="H223" s="125">
        <v>1874.55</v>
      </c>
      <c r="J223" s="125">
        <v>16140</v>
      </c>
      <c r="K223" s="126"/>
      <c r="L223" s="125" t="s">
        <v>753</v>
      </c>
      <c r="M223" s="126">
        <v>45286</v>
      </c>
      <c r="W223" s="125">
        <v>0.75700000000000001</v>
      </c>
      <c r="AD223" s="125" t="s">
        <v>359</v>
      </c>
      <c r="AF223" s="125" t="s">
        <v>710</v>
      </c>
      <c r="AG223" s="125" t="s">
        <v>709</v>
      </c>
      <c r="AL223" s="125" t="s">
        <v>708</v>
      </c>
      <c r="AM223" s="126">
        <v>45287</v>
      </c>
      <c r="AQ223" s="125">
        <v>16.149999999999999</v>
      </c>
      <c r="BA223" s="125" t="s">
        <v>681</v>
      </c>
      <c r="BB223" s="125">
        <v>5327869</v>
      </c>
    </row>
    <row r="224" spans="1:54" x14ac:dyDescent="0.3">
      <c r="A224" s="125" t="s">
        <v>294</v>
      </c>
      <c r="B224" s="125" t="s">
        <v>512</v>
      </c>
      <c r="C224" s="125" t="s">
        <v>57</v>
      </c>
      <c r="D224" s="125">
        <v>1</v>
      </c>
      <c r="E224" s="125">
        <v>3270.002</v>
      </c>
      <c r="F224" s="125">
        <v>6050.0320000000002</v>
      </c>
      <c r="G224" s="125">
        <v>595</v>
      </c>
      <c r="H224" s="125">
        <v>8010.89</v>
      </c>
      <c r="J224" s="125">
        <v>8710</v>
      </c>
      <c r="K224" s="126"/>
      <c r="L224" s="125" t="s">
        <v>348</v>
      </c>
      <c r="M224" s="126">
        <v>45236</v>
      </c>
      <c r="W224" s="125">
        <v>3.153</v>
      </c>
      <c r="AD224" s="125" t="s">
        <v>584</v>
      </c>
      <c r="AF224" s="125" t="s">
        <v>706</v>
      </c>
      <c r="AG224" s="125" t="s">
        <v>755</v>
      </c>
      <c r="AL224" s="125" t="s">
        <v>708</v>
      </c>
      <c r="AM224" s="126">
        <v>45237</v>
      </c>
      <c r="AP224" s="125">
        <v>3</v>
      </c>
      <c r="AQ224" s="125">
        <v>57.893000000000001</v>
      </c>
      <c r="BA224" s="125" t="s">
        <v>511</v>
      </c>
      <c r="BB224" s="125">
        <v>5312178</v>
      </c>
    </row>
    <row r="225" spans="1:54" x14ac:dyDescent="0.3">
      <c r="A225" s="125" t="s">
        <v>294</v>
      </c>
      <c r="B225" s="125" t="s">
        <v>231</v>
      </c>
      <c r="C225" s="125" t="s">
        <v>56</v>
      </c>
      <c r="D225" s="125">
        <v>4</v>
      </c>
      <c r="E225" s="125">
        <v>2920.0070000000001</v>
      </c>
      <c r="F225" s="125">
        <v>5331</v>
      </c>
      <c r="G225" s="125">
        <v>200.00399999999999</v>
      </c>
      <c r="H225" s="125">
        <v>7584.72</v>
      </c>
      <c r="J225" s="125">
        <v>13230</v>
      </c>
      <c r="K225" s="126"/>
      <c r="L225" s="125" t="s">
        <v>278</v>
      </c>
      <c r="M225" s="126">
        <v>45261</v>
      </c>
      <c r="W225" s="125">
        <v>3.1040000000000001</v>
      </c>
      <c r="AD225" s="125" t="s">
        <v>277</v>
      </c>
      <c r="AF225" s="125" t="s">
        <v>710</v>
      </c>
      <c r="AG225" s="125" t="s">
        <v>712</v>
      </c>
      <c r="AL225" s="125" t="s">
        <v>708</v>
      </c>
      <c r="AM225" s="126">
        <v>45264</v>
      </c>
      <c r="AQ225" s="125">
        <v>19.393999999999998</v>
      </c>
      <c r="BA225" s="125" t="s">
        <v>482</v>
      </c>
      <c r="BB225" s="125">
        <v>5284783</v>
      </c>
    </row>
    <row r="226" spans="1:54" x14ac:dyDescent="0.3">
      <c r="A226" s="125" t="s">
        <v>294</v>
      </c>
      <c r="B226" s="125" t="s">
        <v>321</v>
      </c>
      <c r="C226" s="125" t="s">
        <v>57</v>
      </c>
      <c r="D226" s="125">
        <v>2</v>
      </c>
      <c r="E226" s="125">
        <v>3130.011</v>
      </c>
      <c r="F226" s="125">
        <v>8430.0010000000002</v>
      </c>
      <c r="G226" s="125">
        <v>595.00199999999995</v>
      </c>
      <c r="H226" s="125">
        <v>9988.68</v>
      </c>
      <c r="J226" s="125">
        <v>15420</v>
      </c>
      <c r="K226" s="126"/>
      <c r="L226" s="125" t="s">
        <v>349</v>
      </c>
      <c r="M226" s="126">
        <v>45275</v>
      </c>
      <c r="W226" s="125">
        <v>3.9359999999999999</v>
      </c>
      <c r="AD226" s="125" t="s">
        <v>584</v>
      </c>
      <c r="AF226" s="125" t="s">
        <v>710</v>
      </c>
      <c r="AG226" s="125" t="s">
        <v>707</v>
      </c>
      <c r="AL226" s="125" t="s">
        <v>280</v>
      </c>
      <c r="AM226" s="126">
        <v>45278</v>
      </c>
      <c r="AP226" s="125">
        <v>2</v>
      </c>
      <c r="AQ226" s="125">
        <v>87.253</v>
      </c>
      <c r="BA226" s="125" t="s">
        <v>657</v>
      </c>
      <c r="BB226" s="125">
        <v>5331522</v>
      </c>
    </row>
    <row r="227" spans="1:54" x14ac:dyDescent="0.3">
      <c r="A227" s="125" t="s">
        <v>294</v>
      </c>
      <c r="B227" s="125" t="s">
        <v>137</v>
      </c>
      <c r="C227" s="125" t="s">
        <v>56</v>
      </c>
      <c r="D227" s="125">
        <v>2</v>
      </c>
      <c r="E227" s="125">
        <v>3630</v>
      </c>
      <c r="F227" s="125">
        <v>1560</v>
      </c>
      <c r="G227" s="125">
        <v>200</v>
      </c>
      <c r="H227" s="125">
        <v>2771.74</v>
      </c>
      <c r="J227" s="125">
        <v>14590</v>
      </c>
      <c r="K227" s="126"/>
      <c r="L227" s="125" t="s">
        <v>753</v>
      </c>
      <c r="M227" s="126">
        <v>45271</v>
      </c>
      <c r="W227" s="125">
        <v>1.1240000000000001</v>
      </c>
      <c r="AD227" s="125" t="s">
        <v>277</v>
      </c>
      <c r="AF227" s="125" t="s">
        <v>710</v>
      </c>
      <c r="AG227" s="125" t="s">
        <v>710</v>
      </c>
      <c r="AL227" s="125" t="s">
        <v>765</v>
      </c>
      <c r="AM227" s="126">
        <v>45272</v>
      </c>
      <c r="AQ227" s="125">
        <v>23.03</v>
      </c>
      <c r="BA227" s="125" t="s">
        <v>495</v>
      </c>
      <c r="BB227" s="125">
        <v>5310285</v>
      </c>
    </row>
    <row r="228" spans="1:54" x14ac:dyDescent="0.3">
      <c r="A228" s="125" t="s">
        <v>294</v>
      </c>
      <c r="B228" s="125" t="s">
        <v>535</v>
      </c>
      <c r="C228" s="125" t="s">
        <v>57</v>
      </c>
      <c r="D228" s="125">
        <v>1</v>
      </c>
      <c r="E228" s="125">
        <v>3270.009</v>
      </c>
      <c r="F228" s="125">
        <v>5150.0439999999999</v>
      </c>
      <c r="G228" s="125">
        <v>595.00199999999995</v>
      </c>
      <c r="H228" s="125">
        <v>7020.92</v>
      </c>
      <c r="J228" s="125">
        <v>8600</v>
      </c>
      <c r="K228" s="126"/>
      <c r="L228" s="125" t="s">
        <v>349</v>
      </c>
      <c r="M228" s="126">
        <v>45233</v>
      </c>
      <c r="W228" s="125">
        <v>2.7130000000000001</v>
      </c>
      <c r="AD228" s="125" t="s">
        <v>744</v>
      </c>
      <c r="AF228" s="125" t="s">
        <v>706</v>
      </c>
      <c r="AG228" s="125" t="s">
        <v>755</v>
      </c>
      <c r="AL228" s="125" t="s">
        <v>708</v>
      </c>
      <c r="AM228" s="126">
        <v>45236</v>
      </c>
      <c r="AP228" s="125">
        <v>2</v>
      </c>
      <c r="AQ228" s="125">
        <v>33.127000000000002</v>
      </c>
      <c r="BA228" s="125" t="s">
        <v>534</v>
      </c>
      <c r="BB228" s="125">
        <v>5312257</v>
      </c>
    </row>
    <row r="229" spans="1:54" x14ac:dyDescent="0.3">
      <c r="A229" s="125" t="s">
        <v>294</v>
      </c>
      <c r="B229" s="125" t="s">
        <v>197</v>
      </c>
      <c r="C229" s="125" t="s">
        <v>56</v>
      </c>
      <c r="D229" s="125">
        <v>1</v>
      </c>
      <c r="E229" s="125">
        <v>3420.0070000000001</v>
      </c>
      <c r="F229" s="125">
        <v>3430</v>
      </c>
      <c r="G229" s="125">
        <v>200.006</v>
      </c>
      <c r="H229" s="125">
        <v>5703.15</v>
      </c>
      <c r="J229" s="125">
        <v>6180</v>
      </c>
      <c r="K229" s="126">
        <v>45159</v>
      </c>
      <c r="L229" s="125" t="s">
        <v>753</v>
      </c>
      <c r="M229" s="126">
        <v>45215</v>
      </c>
      <c r="W229" s="125">
        <v>2.33</v>
      </c>
      <c r="AD229" s="125" t="s">
        <v>277</v>
      </c>
      <c r="AF229" s="125" t="s">
        <v>711</v>
      </c>
      <c r="AG229" s="125" t="s">
        <v>710</v>
      </c>
      <c r="AL229" s="125" t="s">
        <v>708</v>
      </c>
      <c r="AM229" s="126">
        <v>45216</v>
      </c>
      <c r="AQ229" s="125">
        <v>15.66</v>
      </c>
      <c r="BA229" s="125" t="s">
        <v>769</v>
      </c>
      <c r="BB229" s="125">
        <v>5287962</v>
      </c>
    </row>
    <row r="230" spans="1:54" x14ac:dyDescent="0.3">
      <c r="A230" s="125" t="s">
        <v>294</v>
      </c>
      <c r="B230" s="125" t="s">
        <v>144</v>
      </c>
      <c r="C230" s="125" t="s">
        <v>56</v>
      </c>
      <c r="D230" s="125">
        <v>2</v>
      </c>
      <c r="E230" s="125">
        <v>3420.0059999999999</v>
      </c>
      <c r="F230" s="125">
        <v>1781</v>
      </c>
      <c r="G230" s="125">
        <v>200.00399999999999</v>
      </c>
      <c r="H230" s="125">
        <v>2963.06</v>
      </c>
      <c r="J230" s="125">
        <v>14460</v>
      </c>
      <c r="K230" s="126"/>
      <c r="L230" s="125" t="s">
        <v>278</v>
      </c>
      <c r="M230" s="126">
        <v>45271</v>
      </c>
      <c r="W230" s="125">
        <v>1.2090000000000001</v>
      </c>
      <c r="AD230" s="125" t="s">
        <v>277</v>
      </c>
      <c r="AF230" s="125" t="s">
        <v>710</v>
      </c>
      <c r="AG230" s="125" t="s">
        <v>710</v>
      </c>
      <c r="AL230" s="125" t="s">
        <v>708</v>
      </c>
      <c r="AM230" s="126">
        <v>45272</v>
      </c>
      <c r="AQ230" s="125">
        <v>5.9859999999999998</v>
      </c>
      <c r="BA230" s="125" t="s">
        <v>494</v>
      </c>
      <c r="BB230" s="125">
        <v>5310271</v>
      </c>
    </row>
    <row r="231" spans="1:54" x14ac:dyDescent="0.3">
      <c r="A231" s="125" t="s">
        <v>294</v>
      </c>
      <c r="B231" s="125" t="s">
        <v>283</v>
      </c>
      <c r="C231" s="125" t="s">
        <v>56</v>
      </c>
      <c r="D231" s="125">
        <v>1</v>
      </c>
      <c r="E231" s="125">
        <v>1160</v>
      </c>
      <c r="F231" s="125">
        <v>4760.05</v>
      </c>
      <c r="G231" s="125">
        <v>140</v>
      </c>
      <c r="H231" s="125">
        <v>1906.71</v>
      </c>
      <c r="J231" s="125">
        <v>16150</v>
      </c>
      <c r="K231" s="126"/>
      <c r="L231" s="125" t="s">
        <v>753</v>
      </c>
      <c r="M231" s="126">
        <v>45287</v>
      </c>
      <c r="W231" s="125">
        <v>0.77</v>
      </c>
      <c r="AD231" s="125" t="s">
        <v>359</v>
      </c>
      <c r="AF231" s="125" t="s">
        <v>710</v>
      </c>
      <c r="AG231" s="125" t="s">
        <v>709</v>
      </c>
      <c r="AL231" s="125" t="s">
        <v>708</v>
      </c>
      <c r="AM231" s="126">
        <v>45287</v>
      </c>
      <c r="AQ231" s="125">
        <v>16.309999999999999</v>
      </c>
      <c r="BA231" s="125" t="s">
        <v>680</v>
      </c>
      <c r="BB231" s="125">
        <v>5327868</v>
      </c>
    </row>
    <row r="232" spans="1:54" x14ac:dyDescent="0.3">
      <c r="A232" s="125" t="s">
        <v>294</v>
      </c>
      <c r="B232" s="125" t="s">
        <v>317</v>
      </c>
      <c r="C232" s="125" t="s">
        <v>57</v>
      </c>
      <c r="D232" s="125">
        <v>1</v>
      </c>
      <c r="E232" s="125">
        <v>3280.0070000000001</v>
      </c>
      <c r="F232" s="125">
        <v>8090.0020000000004</v>
      </c>
      <c r="G232" s="125">
        <v>595</v>
      </c>
      <c r="H232" s="125">
        <v>8595.11</v>
      </c>
      <c r="J232" s="125">
        <v>9690</v>
      </c>
      <c r="K232" s="126"/>
      <c r="L232" s="125" t="s">
        <v>349</v>
      </c>
      <c r="M232" s="126">
        <v>45243</v>
      </c>
      <c r="W232" s="125">
        <v>3.3519999999999999</v>
      </c>
      <c r="AD232" s="125" t="s">
        <v>744</v>
      </c>
      <c r="AF232" s="125" t="s">
        <v>706</v>
      </c>
      <c r="AG232" s="125" t="s">
        <v>713</v>
      </c>
      <c r="AL232" s="125" t="s">
        <v>280</v>
      </c>
      <c r="AM232" s="126">
        <v>45244</v>
      </c>
      <c r="AP232" s="125">
        <v>5</v>
      </c>
      <c r="AQ232" s="125">
        <v>49.021999999999998</v>
      </c>
      <c r="BA232" s="125" t="s">
        <v>572</v>
      </c>
      <c r="BB232" s="125">
        <v>5316472</v>
      </c>
    </row>
    <row r="233" spans="1:54" x14ac:dyDescent="0.3">
      <c r="A233" s="125" t="s">
        <v>294</v>
      </c>
      <c r="B233" s="125" t="s">
        <v>321</v>
      </c>
      <c r="C233" s="125" t="s">
        <v>57</v>
      </c>
      <c r="D233" s="125">
        <v>2</v>
      </c>
      <c r="E233" s="125">
        <v>3130.011</v>
      </c>
      <c r="F233" s="125">
        <v>8430.0010000000002</v>
      </c>
      <c r="G233" s="125">
        <v>595.00199999999995</v>
      </c>
      <c r="H233" s="125">
        <v>9988.68</v>
      </c>
      <c r="J233" s="125">
        <v>7090</v>
      </c>
      <c r="K233" s="126"/>
      <c r="L233" s="125" t="s">
        <v>349</v>
      </c>
      <c r="M233" s="126">
        <v>45219</v>
      </c>
      <c r="W233" s="125">
        <v>3.9359999999999999</v>
      </c>
      <c r="AD233" s="125" t="s">
        <v>584</v>
      </c>
      <c r="AF233" s="125" t="s">
        <v>711</v>
      </c>
      <c r="AG233" s="125" t="s">
        <v>707</v>
      </c>
      <c r="AL233" s="125" t="s">
        <v>280</v>
      </c>
      <c r="AM233" s="126">
        <v>45222</v>
      </c>
      <c r="AP233" s="125">
        <v>2</v>
      </c>
      <c r="AQ233" s="125">
        <v>87.253</v>
      </c>
      <c r="BA233" s="125" t="s">
        <v>364</v>
      </c>
      <c r="BB233" s="125">
        <v>5161481</v>
      </c>
    </row>
    <row r="234" spans="1:54" x14ac:dyDescent="0.3">
      <c r="A234" s="125" t="s">
        <v>294</v>
      </c>
      <c r="B234" s="125" t="s">
        <v>156</v>
      </c>
      <c r="C234" s="125" t="s">
        <v>56</v>
      </c>
      <c r="D234" s="125">
        <v>1</v>
      </c>
      <c r="E234" s="125">
        <v>3120.0070000000001</v>
      </c>
      <c r="F234" s="125">
        <v>4080</v>
      </c>
      <c r="G234" s="125">
        <v>200.03700000000001</v>
      </c>
      <c r="H234" s="125">
        <v>5004.28</v>
      </c>
      <c r="J234" s="125">
        <v>8870</v>
      </c>
      <c r="K234" s="126"/>
      <c r="L234" s="125" t="s">
        <v>753</v>
      </c>
      <c r="M234" s="126">
        <v>45237</v>
      </c>
      <c r="W234" s="125">
        <v>2.016</v>
      </c>
      <c r="AD234" s="125" t="s">
        <v>293</v>
      </c>
      <c r="AF234" s="125" t="s">
        <v>706</v>
      </c>
      <c r="AG234" s="125" t="s">
        <v>755</v>
      </c>
      <c r="AL234" s="125" t="s">
        <v>708</v>
      </c>
      <c r="AM234" s="126">
        <v>45238</v>
      </c>
      <c r="AP234" s="125">
        <v>1</v>
      </c>
      <c r="AQ234" s="125">
        <v>34.741</v>
      </c>
      <c r="BA234" s="125" t="s">
        <v>526</v>
      </c>
      <c r="BB234" s="125">
        <v>5312244</v>
      </c>
    </row>
    <row r="235" spans="1:54" x14ac:dyDescent="0.3">
      <c r="A235" s="125" t="s">
        <v>294</v>
      </c>
      <c r="B235" s="125" t="s">
        <v>335</v>
      </c>
      <c r="C235" s="125" t="s">
        <v>57</v>
      </c>
      <c r="D235" s="125">
        <v>1</v>
      </c>
      <c r="E235" s="125">
        <v>3780.009</v>
      </c>
      <c r="F235" s="125">
        <v>7180.0469999999996</v>
      </c>
      <c r="G235" s="125">
        <v>595.03099999999995</v>
      </c>
      <c r="H235" s="125">
        <v>10889.05</v>
      </c>
      <c r="J235" s="125">
        <v>14250</v>
      </c>
      <c r="K235" s="126"/>
      <c r="L235" s="125" t="s">
        <v>348</v>
      </c>
      <c r="M235" s="126">
        <v>45268</v>
      </c>
      <c r="W235" s="125">
        <v>4.2130000000000001</v>
      </c>
      <c r="AD235" s="125" t="s">
        <v>584</v>
      </c>
      <c r="AF235" s="125" t="s">
        <v>710</v>
      </c>
      <c r="AG235" s="125" t="s">
        <v>710</v>
      </c>
      <c r="AL235" s="125" t="s">
        <v>708</v>
      </c>
      <c r="AM235" s="126">
        <v>45271</v>
      </c>
      <c r="AP235" s="125">
        <v>2</v>
      </c>
      <c r="AQ235" s="125">
        <v>46.427</v>
      </c>
      <c r="BA235" s="125" t="s">
        <v>624</v>
      </c>
      <c r="BB235" s="125">
        <v>5331519</v>
      </c>
    </row>
    <row r="236" spans="1:54" x14ac:dyDescent="0.3">
      <c r="A236" s="125" t="s">
        <v>294</v>
      </c>
      <c r="B236" s="125" t="s">
        <v>342</v>
      </c>
      <c r="C236" s="125" t="s">
        <v>57</v>
      </c>
      <c r="D236" s="125">
        <v>2</v>
      </c>
      <c r="E236" s="125">
        <v>3130.0070000000001</v>
      </c>
      <c r="F236" s="125">
        <v>5150.0349999999999</v>
      </c>
      <c r="G236" s="125">
        <v>595.00099999999998</v>
      </c>
      <c r="H236" s="125">
        <v>6964.7</v>
      </c>
      <c r="J236" s="125">
        <v>15330</v>
      </c>
      <c r="K236" s="126"/>
      <c r="L236" s="125" t="s">
        <v>349</v>
      </c>
      <c r="M236" s="126">
        <v>45275</v>
      </c>
      <c r="W236" s="125">
        <v>2.7309999999999999</v>
      </c>
      <c r="AD236" s="125" t="s">
        <v>584</v>
      </c>
      <c r="AF236" s="125" t="s">
        <v>710</v>
      </c>
      <c r="AG236" s="125" t="s">
        <v>707</v>
      </c>
      <c r="AL236" s="125" t="s">
        <v>708</v>
      </c>
      <c r="AM236" s="126">
        <v>45278</v>
      </c>
      <c r="AP236" s="125">
        <v>1</v>
      </c>
      <c r="AQ236" s="125">
        <v>68.638000000000005</v>
      </c>
      <c r="BA236" s="125" t="s">
        <v>658</v>
      </c>
      <c r="BB236" s="125">
        <v>5331526</v>
      </c>
    </row>
    <row r="237" spans="1:54" x14ac:dyDescent="0.3">
      <c r="A237" s="125" t="s">
        <v>294</v>
      </c>
      <c r="B237" s="125" t="s">
        <v>224</v>
      </c>
      <c r="C237" s="125" t="s">
        <v>56</v>
      </c>
      <c r="D237" s="125">
        <v>4</v>
      </c>
      <c r="E237" s="125">
        <v>2920.0070000000001</v>
      </c>
      <c r="F237" s="125">
        <v>3845</v>
      </c>
      <c r="G237" s="125">
        <v>200.00299999999999</v>
      </c>
      <c r="H237" s="125">
        <v>5406.34</v>
      </c>
      <c r="J237" s="125">
        <v>12240</v>
      </c>
      <c r="K237" s="126"/>
      <c r="L237" s="125" t="s">
        <v>753</v>
      </c>
      <c r="M237" s="126">
        <v>45257</v>
      </c>
      <c r="W237" s="125">
        <v>2.202</v>
      </c>
      <c r="AD237" s="125" t="s">
        <v>277</v>
      </c>
      <c r="AF237" s="125" t="s">
        <v>712</v>
      </c>
      <c r="AG237" s="125" t="s">
        <v>706</v>
      </c>
      <c r="AL237" s="125" t="s">
        <v>708</v>
      </c>
      <c r="AM237" s="126">
        <v>45258</v>
      </c>
      <c r="AQ237" s="125">
        <v>30.431000000000001</v>
      </c>
      <c r="BA237" s="125" t="s">
        <v>396</v>
      </c>
      <c r="BB237" s="125">
        <v>5284427</v>
      </c>
    </row>
    <row r="238" spans="1:54" x14ac:dyDescent="0.3">
      <c r="A238" s="125" t="s">
        <v>294</v>
      </c>
      <c r="B238" s="125" t="s">
        <v>336</v>
      </c>
      <c r="C238" s="125" t="s">
        <v>57</v>
      </c>
      <c r="D238" s="125">
        <v>2</v>
      </c>
      <c r="E238" s="125">
        <v>3130.0120000000002</v>
      </c>
      <c r="F238" s="125">
        <v>4679.9210000000003</v>
      </c>
      <c r="G238" s="125">
        <v>595.01099999999997</v>
      </c>
      <c r="H238" s="125">
        <v>5630.66</v>
      </c>
      <c r="J238" s="125">
        <v>7120</v>
      </c>
      <c r="K238" s="126"/>
      <c r="L238" s="125" t="s">
        <v>349</v>
      </c>
      <c r="M238" s="126">
        <v>45219</v>
      </c>
      <c r="W238" s="125">
        <v>2.222</v>
      </c>
      <c r="AD238" s="125" t="s">
        <v>584</v>
      </c>
      <c r="AF238" s="125" t="s">
        <v>711</v>
      </c>
      <c r="AG238" s="125" t="s">
        <v>707</v>
      </c>
      <c r="AL238" s="125" t="s">
        <v>708</v>
      </c>
      <c r="AM238" s="126">
        <v>45222</v>
      </c>
      <c r="AP238" s="125">
        <v>1</v>
      </c>
      <c r="AQ238" s="125">
        <v>30.79</v>
      </c>
      <c r="BA238" s="125" t="s">
        <v>362</v>
      </c>
      <c r="BB238" s="125">
        <v>5161553</v>
      </c>
    </row>
    <row r="239" spans="1:54" x14ac:dyDescent="0.3">
      <c r="A239" s="125" t="s">
        <v>294</v>
      </c>
      <c r="B239" s="125" t="s">
        <v>201</v>
      </c>
      <c r="C239" s="125" t="s">
        <v>56</v>
      </c>
      <c r="D239" s="125">
        <v>1</v>
      </c>
      <c r="E239" s="125">
        <v>2910.0070000000001</v>
      </c>
      <c r="F239" s="125">
        <v>2460</v>
      </c>
      <c r="G239" s="125">
        <v>200.00200000000001</v>
      </c>
      <c r="H239" s="125">
        <v>3379.41</v>
      </c>
      <c r="J239" s="125">
        <v>8860</v>
      </c>
      <c r="K239" s="126"/>
      <c r="L239" s="125" t="s">
        <v>753</v>
      </c>
      <c r="M239" s="126">
        <v>45237</v>
      </c>
      <c r="W239" s="125">
        <v>1.37</v>
      </c>
      <c r="AD239" s="125" t="s">
        <v>277</v>
      </c>
      <c r="AF239" s="125" t="s">
        <v>706</v>
      </c>
      <c r="AG239" s="125" t="s">
        <v>755</v>
      </c>
      <c r="AL239" s="125" t="s">
        <v>708</v>
      </c>
      <c r="AM239" s="126">
        <v>45238</v>
      </c>
      <c r="AQ239" s="125">
        <v>33.258000000000003</v>
      </c>
      <c r="BA239" s="125" t="s">
        <v>536</v>
      </c>
      <c r="BB239" s="125">
        <v>5312261</v>
      </c>
    </row>
    <row r="240" spans="1:54" x14ac:dyDescent="0.3">
      <c r="A240" s="125" t="s">
        <v>294</v>
      </c>
      <c r="B240" s="125" t="s">
        <v>216</v>
      </c>
      <c r="C240" s="125" t="s">
        <v>56</v>
      </c>
      <c r="D240" s="125">
        <v>4</v>
      </c>
      <c r="E240" s="125">
        <v>3130.0010000000002</v>
      </c>
      <c r="F240" s="125">
        <v>3341</v>
      </c>
      <c r="G240" s="125">
        <v>200.001</v>
      </c>
      <c r="H240" s="125">
        <v>1910.73</v>
      </c>
      <c r="J240" s="125">
        <v>12300</v>
      </c>
      <c r="K240" s="126"/>
      <c r="L240" s="125" t="s">
        <v>278</v>
      </c>
      <c r="M240" s="126">
        <v>45257</v>
      </c>
      <c r="W240" s="125">
        <v>0.76200000000000001</v>
      </c>
      <c r="AD240" s="125" t="s">
        <v>277</v>
      </c>
      <c r="AF240" s="125" t="s">
        <v>712</v>
      </c>
      <c r="AG240" s="125" t="s">
        <v>706</v>
      </c>
      <c r="AL240" s="125" t="s">
        <v>708</v>
      </c>
      <c r="AM240" s="126">
        <v>45258</v>
      </c>
      <c r="AP240" s="125">
        <v>3</v>
      </c>
      <c r="AQ240" s="125">
        <v>13.866</v>
      </c>
      <c r="BA240" s="125" t="s">
        <v>448</v>
      </c>
      <c r="BB240" s="125">
        <v>5284647</v>
      </c>
    </row>
    <row r="241" spans="1:54" x14ac:dyDescent="0.3">
      <c r="A241" s="125" t="s">
        <v>294</v>
      </c>
      <c r="B241" s="125" t="s">
        <v>383</v>
      </c>
      <c r="C241" s="125" t="s">
        <v>57</v>
      </c>
      <c r="D241" s="125">
        <v>2</v>
      </c>
      <c r="E241" s="125">
        <v>3130.0030000000002</v>
      </c>
      <c r="F241" s="125">
        <v>3145.0230000000001</v>
      </c>
      <c r="G241" s="125">
        <v>595</v>
      </c>
      <c r="H241" s="125">
        <v>4039.49</v>
      </c>
      <c r="J241" s="125">
        <v>7150</v>
      </c>
      <c r="K241" s="126"/>
      <c r="L241" s="125" t="s">
        <v>348</v>
      </c>
      <c r="M241" s="126">
        <v>45219</v>
      </c>
      <c r="W241" s="125">
        <v>1.5880000000000001</v>
      </c>
      <c r="AD241" s="125" t="s">
        <v>584</v>
      </c>
      <c r="AF241" s="125" t="s">
        <v>711</v>
      </c>
      <c r="AG241" s="125" t="s">
        <v>707</v>
      </c>
      <c r="AL241" s="125" t="s">
        <v>708</v>
      </c>
      <c r="AM241" s="126">
        <v>45222</v>
      </c>
      <c r="AP241" s="125">
        <v>2</v>
      </c>
      <c r="AQ241" s="125">
        <v>30.715</v>
      </c>
      <c r="BA241" s="125" t="s">
        <v>382</v>
      </c>
      <c r="BB241" s="125">
        <v>5161412</v>
      </c>
    </row>
    <row r="242" spans="1:54" x14ac:dyDescent="0.3">
      <c r="A242" s="125" t="s">
        <v>294</v>
      </c>
      <c r="B242" s="125" t="s">
        <v>184</v>
      </c>
      <c r="C242" s="125" t="s">
        <v>56</v>
      </c>
      <c r="D242" s="125">
        <v>4</v>
      </c>
      <c r="E242" s="125">
        <v>3130</v>
      </c>
      <c r="F242" s="125">
        <v>2531</v>
      </c>
      <c r="G242" s="125">
        <v>200</v>
      </c>
      <c r="H242" s="125">
        <v>3846.23</v>
      </c>
      <c r="J242" s="125">
        <v>12320</v>
      </c>
      <c r="K242" s="126"/>
      <c r="L242" s="125" t="s">
        <v>278</v>
      </c>
      <c r="M242" s="126">
        <v>45257</v>
      </c>
      <c r="W242" s="125">
        <v>1.573</v>
      </c>
      <c r="AD242" s="125" t="s">
        <v>277</v>
      </c>
      <c r="AF242" s="125" t="s">
        <v>712</v>
      </c>
      <c r="AG242" s="125" t="s">
        <v>706</v>
      </c>
      <c r="AL242" s="125" t="s">
        <v>708</v>
      </c>
      <c r="AM242" s="126">
        <v>45258</v>
      </c>
      <c r="AQ242" s="125">
        <v>10.656000000000001</v>
      </c>
      <c r="BA242" s="125" t="s">
        <v>481</v>
      </c>
      <c r="BB242" s="125">
        <v>5284781</v>
      </c>
    </row>
    <row r="243" spans="1:54" x14ac:dyDescent="0.3">
      <c r="A243" s="125" t="s">
        <v>294</v>
      </c>
      <c r="B243" s="125" t="s">
        <v>254</v>
      </c>
      <c r="C243" s="125" t="s">
        <v>56</v>
      </c>
      <c r="D243" s="125">
        <v>4</v>
      </c>
      <c r="E243" s="125">
        <v>3130.0070000000001</v>
      </c>
      <c r="F243" s="125">
        <v>6180</v>
      </c>
      <c r="G243" s="125">
        <v>200.03700000000001</v>
      </c>
      <c r="H243" s="125">
        <v>8059.31</v>
      </c>
      <c r="J243" s="125">
        <v>12180</v>
      </c>
      <c r="K243" s="126"/>
      <c r="L243" s="125" t="s">
        <v>753</v>
      </c>
      <c r="M243" s="126">
        <v>45257</v>
      </c>
      <c r="W243" s="125">
        <v>3.2749999999999999</v>
      </c>
      <c r="AD243" s="125" t="s">
        <v>277</v>
      </c>
      <c r="AF243" s="125" t="s">
        <v>712</v>
      </c>
      <c r="AG243" s="125" t="s">
        <v>706</v>
      </c>
      <c r="AL243" s="125" t="s">
        <v>708</v>
      </c>
      <c r="AM243" s="126">
        <v>45258</v>
      </c>
      <c r="AQ243" s="125">
        <v>46.671999999999997</v>
      </c>
      <c r="BA243" s="125" t="s">
        <v>442</v>
      </c>
      <c r="BB243" s="125">
        <v>5284627</v>
      </c>
    </row>
    <row r="244" spans="1:54" x14ac:dyDescent="0.3">
      <c r="A244" s="125" t="s">
        <v>294</v>
      </c>
      <c r="B244" s="125" t="s">
        <v>208</v>
      </c>
      <c r="C244" s="125" t="s">
        <v>56</v>
      </c>
      <c r="D244" s="125">
        <v>3</v>
      </c>
      <c r="E244" s="125">
        <v>3130.0010000000002</v>
      </c>
      <c r="F244" s="125">
        <v>3804.9989999999998</v>
      </c>
      <c r="G244" s="125">
        <v>200.023</v>
      </c>
      <c r="H244" s="125">
        <v>4684.5</v>
      </c>
      <c r="J244" s="125">
        <v>11140</v>
      </c>
      <c r="K244" s="126"/>
      <c r="L244" s="125" t="s">
        <v>753</v>
      </c>
      <c r="M244" s="126">
        <v>45250</v>
      </c>
      <c r="W244" s="125">
        <v>1.9039999999999999</v>
      </c>
      <c r="AD244" s="125" t="s">
        <v>277</v>
      </c>
      <c r="AF244" s="125" t="s">
        <v>712</v>
      </c>
      <c r="AG244" s="125" t="s">
        <v>711</v>
      </c>
      <c r="AL244" s="125" t="s">
        <v>708</v>
      </c>
      <c r="AM244" s="126">
        <v>45251</v>
      </c>
      <c r="AP244" s="125">
        <v>1</v>
      </c>
      <c r="AQ244" s="125">
        <v>21.984000000000002</v>
      </c>
      <c r="BA244" s="125" t="s">
        <v>446</v>
      </c>
      <c r="BB244" s="125">
        <v>5284640</v>
      </c>
    </row>
    <row r="245" spans="1:54" x14ac:dyDescent="0.3">
      <c r="A245" s="125" t="s">
        <v>294</v>
      </c>
      <c r="B245" s="125" t="s">
        <v>135</v>
      </c>
      <c r="C245" s="125" t="s">
        <v>56</v>
      </c>
      <c r="D245" s="125">
        <v>1</v>
      </c>
      <c r="E245" s="125">
        <v>2910.0070000000001</v>
      </c>
      <c r="F245" s="125">
        <v>1781</v>
      </c>
      <c r="G245" s="125">
        <v>200.00399999999999</v>
      </c>
      <c r="H245" s="125">
        <v>2524.2199999999998</v>
      </c>
      <c r="J245" s="125">
        <v>8880</v>
      </c>
      <c r="K245" s="126"/>
      <c r="L245" s="125" t="s">
        <v>278</v>
      </c>
      <c r="M245" s="126">
        <v>45237</v>
      </c>
      <c r="W245" s="125">
        <v>1.0289999999999999</v>
      </c>
      <c r="AD245" s="125" t="s">
        <v>277</v>
      </c>
      <c r="AF245" s="125" t="s">
        <v>706</v>
      </c>
      <c r="AG245" s="125" t="s">
        <v>755</v>
      </c>
      <c r="AL245" s="125" t="s">
        <v>708</v>
      </c>
      <c r="AM245" s="126">
        <v>45238</v>
      </c>
      <c r="AQ245" s="125">
        <v>8.1199999999999992</v>
      </c>
      <c r="BA245" s="125" t="s">
        <v>505</v>
      </c>
      <c r="BB245" s="125">
        <v>5312150</v>
      </c>
    </row>
    <row r="246" spans="1:54" x14ac:dyDescent="0.3">
      <c r="A246" s="125" t="s">
        <v>294</v>
      </c>
      <c r="B246" s="125" t="s">
        <v>219</v>
      </c>
      <c r="C246" s="125" t="s">
        <v>56</v>
      </c>
      <c r="D246" s="125">
        <v>4</v>
      </c>
      <c r="E246" s="125">
        <v>3130.0230000000001</v>
      </c>
      <c r="F246" s="125">
        <v>5660.9970000000003</v>
      </c>
      <c r="G246" s="125">
        <v>400.00599999999997</v>
      </c>
      <c r="H246" s="125">
        <v>8373.59</v>
      </c>
      <c r="J246" s="125">
        <v>12280</v>
      </c>
      <c r="K246" s="126"/>
      <c r="L246" s="125" t="s">
        <v>278</v>
      </c>
      <c r="M246" s="126">
        <v>45257</v>
      </c>
      <c r="W246" s="125">
        <v>3.41</v>
      </c>
      <c r="AD246" s="125" t="s">
        <v>277</v>
      </c>
      <c r="AF246" s="125" t="s">
        <v>712</v>
      </c>
      <c r="AG246" s="125" t="s">
        <v>706</v>
      </c>
      <c r="AL246" s="125" t="s">
        <v>708</v>
      </c>
      <c r="AM246" s="126">
        <v>45258</v>
      </c>
      <c r="AP246" s="125">
        <v>1</v>
      </c>
      <c r="AQ246" s="125">
        <v>50.408999999999999</v>
      </c>
      <c r="BA246" s="125" t="s">
        <v>416</v>
      </c>
      <c r="BB246" s="125">
        <v>5284526</v>
      </c>
    </row>
    <row r="247" spans="1:54" x14ac:dyDescent="0.3">
      <c r="A247" s="125" t="s">
        <v>294</v>
      </c>
      <c r="B247" s="125" t="s">
        <v>212</v>
      </c>
      <c r="C247" s="125" t="s">
        <v>56</v>
      </c>
      <c r="D247" s="125">
        <v>4</v>
      </c>
      <c r="E247" s="125">
        <v>3130</v>
      </c>
      <c r="F247" s="125">
        <v>1560</v>
      </c>
      <c r="G247" s="125">
        <v>200</v>
      </c>
      <c r="H247" s="125">
        <v>2369.6799999999998</v>
      </c>
      <c r="J247" s="125">
        <v>11210</v>
      </c>
      <c r="K247" s="126"/>
      <c r="L247" s="125" t="s">
        <v>753</v>
      </c>
      <c r="M247" s="126">
        <v>45250</v>
      </c>
      <c r="W247" s="125">
        <v>0.96899999999999997</v>
      </c>
      <c r="AD247" s="125" t="s">
        <v>277</v>
      </c>
      <c r="AF247" s="125" t="s">
        <v>712</v>
      </c>
      <c r="AG247" s="125" t="s">
        <v>711</v>
      </c>
      <c r="AL247" s="125" t="s">
        <v>708</v>
      </c>
      <c r="AM247" s="126">
        <v>45251</v>
      </c>
      <c r="AQ247" s="125">
        <v>5.7160000000000002</v>
      </c>
      <c r="BA247" s="125" t="s">
        <v>433</v>
      </c>
      <c r="BB247" s="125">
        <v>5284592</v>
      </c>
    </row>
    <row r="248" spans="1:54" x14ac:dyDescent="0.3">
      <c r="A248" s="125" t="s">
        <v>294</v>
      </c>
      <c r="B248" s="125" t="s">
        <v>347</v>
      </c>
      <c r="C248" s="125" t="s">
        <v>57</v>
      </c>
      <c r="D248" s="125">
        <v>1</v>
      </c>
      <c r="E248" s="125">
        <v>3270.027</v>
      </c>
      <c r="F248" s="125">
        <v>7524.9970000000003</v>
      </c>
      <c r="G248" s="125">
        <v>595.029</v>
      </c>
      <c r="H248" s="125">
        <v>9872.41</v>
      </c>
      <c r="J248" s="125">
        <v>8580</v>
      </c>
      <c r="K248" s="126"/>
      <c r="L248" s="125" t="s">
        <v>348</v>
      </c>
      <c r="M248" s="126">
        <v>45233</v>
      </c>
      <c r="W248" s="125">
        <v>3.847</v>
      </c>
      <c r="AD248" s="125" t="s">
        <v>584</v>
      </c>
      <c r="AF248" s="125" t="s">
        <v>706</v>
      </c>
      <c r="AG248" s="125" t="s">
        <v>755</v>
      </c>
      <c r="AL248" s="125" t="s">
        <v>708</v>
      </c>
      <c r="AM248" s="126">
        <v>45236</v>
      </c>
      <c r="AP248" s="125">
        <v>2</v>
      </c>
      <c r="AQ248" s="125">
        <v>31.141999999999999</v>
      </c>
      <c r="BA248" s="125" t="s">
        <v>524</v>
      </c>
      <c r="BB248" s="125">
        <v>5312236</v>
      </c>
    </row>
    <row r="249" spans="1:54" x14ac:dyDescent="0.3">
      <c r="A249" s="125" t="s">
        <v>294</v>
      </c>
      <c r="B249" s="125" t="s">
        <v>340</v>
      </c>
      <c r="C249" s="125" t="s">
        <v>57</v>
      </c>
      <c r="D249" s="125">
        <v>2</v>
      </c>
      <c r="E249" s="125">
        <v>3130.011</v>
      </c>
      <c r="F249" s="125">
        <v>3094.9670000000001</v>
      </c>
      <c r="G249" s="125">
        <v>594.99900000000002</v>
      </c>
      <c r="H249" s="125">
        <v>4047.91</v>
      </c>
      <c r="J249" s="125">
        <v>7140</v>
      </c>
      <c r="K249" s="126"/>
      <c r="L249" s="125" t="s">
        <v>349</v>
      </c>
      <c r="M249" s="126">
        <v>45219</v>
      </c>
      <c r="W249" s="125">
        <v>1.5980000000000001</v>
      </c>
      <c r="AD249" s="125" t="s">
        <v>584</v>
      </c>
      <c r="AF249" s="125" t="s">
        <v>711</v>
      </c>
      <c r="AG249" s="125" t="s">
        <v>707</v>
      </c>
      <c r="AL249" s="125" t="s">
        <v>708</v>
      </c>
      <c r="AM249" s="126">
        <v>45222</v>
      </c>
      <c r="AQ249" s="125">
        <v>26.614000000000001</v>
      </c>
      <c r="BA249" s="125" t="s">
        <v>360</v>
      </c>
      <c r="BB249" s="125">
        <v>5161598</v>
      </c>
    </row>
    <row r="250" spans="1:54" x14ac:dyDescent="0.3">
      <c r="A250" s="125" t="s">
        <v>294</v>
      </c>
      <c r="B250" s="125" t="s">
        <v>275</v>
      </c>
      <c r="C250" s="125" t="s">
        <v>56</v>
      </c>
      <c r="D250" s="125">
        <v>1</v>
      </c>
      <c r="E250" s="125">
        <v>3660.0079999999998</v>
      </c>
      <c r="F250" s="125">
        <v>4720</v>
      </c>
      <c r="G250" s="125">
        <v>200.00299999999999</v>
      </c>
      <c r="H250" s="125">
        <v>7337.41</v>
      </c>
      <c r="J250" s="125">
        <v>14370</v>
      </c>
      <c r="K250" s="126"/>
      <c r="L250" s="125" t="s">
        <v>754</v>
      </c>
      <c r="M250" s="126">
        <v>45268</v>
      </c>
      <c r="W250" s="125">
        <v>2.9969999999999999</v>
      </c>
      <c r="AD250" s="125" t="s">
        <v>277</v>
      </c>
      <c r="AF250" s="125" t="s">
        <v>710</v>
      </c>
      <c r="AG250" s="125" t="s">
        <v>710</v>
      </c>
      <c r="AL250" s="125" t="s">
        <v>708</v>
      </c>
      <c r="AM250" s="126">
        <v>45271</v>
      </c>
      <c r="AQ250" s="125">
        <v>23.443999999999999</v>
      </c>
      <c r="BA250" s="125" t="s">
        <v>628</v>
      </c>
      <c r="BB250" s="125">
        <v>5332470</v>
      </c>
    </row>
    <row r="251" spans="1:54" x14ac:dyDescent="0.3">
      <c r="A251" s="125" t="s">
        <v>294</v>
      </c>
      <c r="B251" s="125" t="s">
        <v>289</v>
      </c>
      <c r="C251" s="125" t="s">
        <v>56</v>
      </c>
      <c r="D251" s="125">
        <v>2</v>
      </c>
      <c r="E251" s="125">
        <v>1160</v>
      </c>
      <c r="F251" s="125">
        <v>6242.0010000000002</v>
      </c>
      <c r="G251" s="125">
        <v>140.001</v>
      </c>
      <c r="H251" s="125">
        <v>2491.33</v>
      </c>
      <c r="J251" s="125">
        <v>7910</v>
      </c>
      <c r="K251" s="126">
        <v>45167</v>
      </c>
      <c r="L251" s="125" t="s">
        <v>278</v>
      </c>
      <c r="M251" s="126">
        <v>45226</v>
      </c>
      <c r="W251" s="125">
        <v>1.008</v>
      </c>
      <c r="AD251" s="125" t="s">
        <v>359</v>
      </c>
      <c r="AF251" s="125" t="s">
        <v>711</v>
      </c>
      <c r="AG251" s="125" t="s">
        <v>709</v>
      </c>
      <c r="AL251" s="125" t="s">
        <v>708</v>
      </c>
      <c r="AM251" s="126">
        <v>45229</v>
      </c>
      <c r="AQ251" s="125">
        <v>20.995000000000001</v>
      </c>
      <c r="BA251" s="125" t="s">
        <v>367</v>
      </c>
      <c r="BB251" s="125">
        <v>5161375</v>
      </c>
    </row>
    <row r="252" spans="1:54" x14ac:dyDescent="0.3">
      <c r="A252" s="125" t="s">
        <v>294</v>
      </c>
      <c r="B252" s="125" t="s">
        <v>227</v>
      </c>
      <c r="C252" s="125" t="s">
        <v>56</v>
      </c>
      <c r="D252" s="125">
        <v>4</v>
      </c>
      <c r="E252" s="125">
        <v>2920.0149999999999</v>
      </c>
      <c r="F252" s="125">
        <v>5110</v>
      </c>
      <c r="G252" s="125">
        <v>200.00200000000001</v>
      </c>
      <c r="H252" s="125">
        <v>7269.44</v>
      </c>
      <c r="J252" s="125">
        <v>12140</v>
      </c>
      <c r="K252" s="126"/>
      <c r="L252" s="125" t="s">
        <v>753</v>
      </c>
      <c r="M252" s="126">
        <v>45254</v>
      </c>
      <c r="W252" s="125">
        <v>2.97</v>
      </c>
      <c r="AD252" s="125" t="s">
        <v>277</v>
      </c>
      <c r="AF252" s="125" t="s">
        <v>712</v>
      </c>
      <c r="AG252" s="125" t="s">
        <v>706</v>
      </c>
      <c r="AL252" s="125" t="s">
        <v>708</v>
      </c>
      <c r="AM252" s="126">
        <v>45257</v>
      </c>
      <c r="AQ252" s="125">
        <v>23.006</v>
      </c>
      <c r="BA252" s="125" t="s">
        <v>418</v>
      </c>
      <c r="BB252" s="125">
        <v>5284539</v>
      </c>
    </row>
    <row r="253" spans="1:54" x14ac:dyDescent="0.3">
      <c r="A253" s="125" t="s">
        <v>294</v>
      </c>
      <c r="B253" s="125" t="s">
        <v>320</v>
      </c>
      <c r="C253" s="125" t="s">
        <v>57</v>
      </c>
      <c r="D253" s="125">
        <v>2</v>
      </c>
      <c r="E253" s="125">
        <v>3130.0070000000001</v>
      </c>
      <c r="F253" s="125">
        <v>8380.0010000000002</v>
      </c>
      <c r="G253" s="125">
        <v>595</v>
      </c>
      <c r="H253" s="125">
        <v>10684.93</v>
      </c>
      <c r="J253" s="125">
        <v>7100</v>
      </c>
      <c r="K253" s="126"/>
      <c r="L253" s="125" t="s">
        <v>349</v>
      </c>
      <c r="M253" s="126">
        <v>45219</v>
      </c>
      <c r="W253" s="125">
        <v>4.2210000000000001</v>
      </c>
      <c r="AD253" s="125" t="s">
        <v>584</v>
      </c>
      <c r="AF253" s="125" t="s">
        <v>711</v>
      </c>
      <c r="AG253" s="125" t="s">
        <v>707</v>
      </c>
      <c r="AL253" s="125" t="s">
        <v>280</v>
      </c>
      <c r="AM253" s="126">
        <v>45222</v>
      </c>
      <c r="AP253" s="125">
        <v>3</v>
      </c>
      <c r="AQ253" s="125">
        <v>59.994999999999997</v>
      </c>
      <c r="BA253" s="125" t="s">
        <v>365</v>
      </c>
      <c r="BB253" s="125">
        <v>5161478</v>
      </c>
    </row>
    <row r="254" spans="1:54" x14ac:dyDescent="0.3">
      <c r="A254" s="125" t="s">
        <v>294</v>
      </c>
      <c r="B254" s="125" t="s">
        <v>306</v>
      </c>
      <c r="C254" s="125" t="s">
        <v>57</v>
      </c>
      <c r="D254" s="125">
        <v>1</v>
      </c>
      <c r="E254" s="125">
        <v>2910.01</v>
      </c>
      <c r="F254" s="125">
        <v>3264.998</v>
      </c>
      <c r="G254" s="125">
        <v>545.02700000000004</v>
      </c>
      <c r="H254" s="125">
        <v>3694.07</v>
      </c>
      <c r="J254" s="125">
        <v>8730</v>
      </c>
      <c r="K254" s="126"/>
      <c r="L254" s="125" t="s">
        <v>349</v>
      </c>
      <c r="M254" s="126">
        <v>45236</v>
      </c>
      <c r="W254" s="125">
        <v>1.4570000000000001</v>
      </c>
      <c r="AD254" s="125" t="s">
        <v>584</v>
      </c>
      <c r="AF254" s="125" t="s">
        <v>706</v>
      </c>
      <c r="AG254" s="125" t="s">
        <v>755</v>
      </c>
      <c r="AL254" s="125" t="s">
        <v>708</v>
      </c>
      <c r="AM254" s="126">
        <v>45237</v>
      </c>
      <c r="AP254" s="125">
        <v>3</v>
      </c>
      <c r="AQ254" s="125">
        <v>20.215</v>
      </c>
      <c r="BA254" s="125" t="s">
        <v>548</v>
      </c>
      <c r="BB254" s="125">
        <v>5315772</v>
      </c>
    </row>
    <row r="255" spans="1:54" x14ac:dyDescent="0.3">
      <c r="A255" s="125" t="s">
        <v>294</v>
      </c>
      <c r="B255" s="125" t="s">
        <v>353</v>
      </c>
      <c r="C255" s="125" t="s">
        <v>57</v>
      </c>
      <c r="D255" s="125">
        <v>2</v>
      </c>
      <c r="E255" s="125">
        <v>3280.0039999999999</v>
      </c>
      <c r="F255" s="125">
        <v>4409.973</v>
      </c>
      <c r="G255" s="125">
        <v>595.01099999999997</v>
      </c>
      <c r="H255" s="125">
        <v>5387.12</v>
      </c>
      <c r="J255" s="125">
        <v>9710</v>
      </c>
      <c r="K255" s="126"/>
      <c r="L255" s="125" t="s">
        <v>349</v>
      </c>
      <c r="M255" s="126">
        <v>45243</v>
      </c>
      <c r="W255" s="125">
        <v>2.0990000000000002</v>
      </c>
      <c r="AD255" s="125" t="s">
        <v>584</v>
      </c>
      <c r="AF255" s="125" t="s">
        <v>706</v>
      </c>
      <c r="AG255" s="125" t="s">
        <v>713</v>
      </c>
      <c r="AL255" s="125" t="s">
        <v>708</v>
      </c>
      <c r="AM255" s="126">
        <v>45244</v>
      </c>
      <c r="AP255" s="125">
        <v>1</v>
      </c>
      <c r="AQ255" s="125">
        <v>23.466000000000001</v>
      </c>
      <c r="BA255" s="125" t="s">
        <v>558</v>
      </c>
      <c r="BB255" s="125">
        <v>5316445</v>
      </c>
    </row>
    <row r="256" spans="1:54" x14ac:dyDescent="0.3">
      <c r="A256" s="125" t="s">
        <v>294</v>
      </c>
      <c r="B256" s="125" t="s">
        <v>310</v>
      </c>
      <c r="C256" s="125" t="s">
        <v>57</v>
      </c>
      <c r="D256" s="125">
        <v>1</v>
      </c>
      <c r="E256" s="125">
        <v>3280.009</v>
      </c>
      <c r="F256" s="125">
        <v>7180.0469999999996</v>
      </c>
      <c r="G256" s="125">
        <v>595.03200000000004</v>
      </c>
      <c r="H256" s="125">
        <v>8624.34</v>
      </c>
      <c r="J256" s="125">
        <v>9750</v>
      </c>
      <c r="K256" s="126"/>
      <c r="L256" s="125" t="s">
        <v>348</v>
      </c>
      <c r="M256" s="126">
        <v>45243</v>
      </c>
      <c r="W256" s="125">
        <v>3.3540000000000001</v>
      </c>
      <c r="AD256" s="125" t="s">
        <v>584</v>
      </c>
      <c r="AF256" s="125" t="s">
        <v>706</v>
      </c>
      <c r="AG256" s="125" t="s">
        <v>713</v>
      </c>
      <c r="AL256" s="125" t="s">
        <v>708</v>
      </c>
      <c r="AM256" s="126">
        <v>45244</v>
      </c>
      <c r="AP256" s="125">
        <v>2</v>
      </c>
      <c r="AQ256" s="125">
        <v>45.104999999999997</v>
      </c>
      <c r="BA256" s="125" t="s">
        <v>561</v>
      </c>
      <c r="BB256" s="125">
        <v>5316452</v>
      </c>
    </row>
    <row r="257" spans="1:54" x14ac:dyDescent="0.3">
      <c r="A257" s="125" t="s">
        <v>294</v>
      </c>
      <c r="B257" s="125" t="s">
        <v>215</v>
      </c>
      <c r="C257" s="125" t="s">
        <v>56</v>
      </c>
      <c r="D257" s="125">
        <v>3</v>
      </c>
      <c r="E257" s="125">
        <v>2930.0070000000001</v>
      </c>
      <c r="F257" s="125">
        <v>4531</v>
      </c>
      <c r="G257" s="125">
        <v>200.03800000000001</v>
      </c>
      <c r="H257" s="125">
        <v>4933.3599999999997</v>
      </c>
      <c r="J257" s="125">
        <v>13410</v>
      </c>
      <c r="K257" s="126"/>
      <c r="L257" s="125" t="s">
        <v>278</v>
      </c>
      <c r="M257" s="126">
        <v>45264</v>
      </c>
      <c r="W257" s="125">
        <v>2.012</v>
      </c>
      <c r="AD257" s="125" t="s">
        <v>277</v>
      </c>
      <c r="AF257" s="125" t="s">
        <v>710</v>
      </c>
      <c r="AG257" s="125" t="s">
        <v>712</v>
      </c>
      <c r="AL257" s="125" t="s">
        <v>708</v>
      </c>
      <c r="AM257" s="126">
        <v>45265</v>
      </c>
      <c r="AQ257" s="125">
        <v>26.478999999999999</v>
      </c>
      <c r="BA257" s="125" t="s">
        <v>463</v>
      </c>
      <c r="BB257" s="125">
        <v>5284693</v>
      </c>
    </row>
    <row r="258" spans="1:54" x14ac:dyDescent="0.3">
      <c r="A258" s="125" t="s">
        <v>294</v>
      </c>
      <c r="B258" s="125" t="s">
        <v>351</v>
      </c>
      <c r="C258" s="125" t="s">
        <v>57</v>
      </c>
      <c r="D258" s="125">
        <v>2</v>
      </c>
      <c r="E258" s="125">
        <v>3280.0070000000001</v>
      </c>
      <c r="F258" s="125">
        <v>6210.0079999999998</v>
      </c>
      <c r="G258" s="125">
        <v>595.00199999999995</v>
      </c>
      <c r="H258" s="125">
        <v>7744.03</v>
      </c>
      <c r="J258" s="125">
        <v>12060</v>
      </c>
      <c r="K258" s="126"/>
      <c r="L258" s="125" t="s">
        <v>349</v>
      </c>
      <c r="M258" s="126">
        <v>45254</v>
      </c>
      <c r="W258" s="125">
        <v>3.0150000000000001</v>
      </c>
      <c r="AD258" s="125" t="s">
        <v>584</v>
      </c>
      <c r="AF258" s="125" t="s">
        <v>712</v>
      </c>
      <c r="AG258" s="125" t="s">
        <v>706</v>
      </c>
      <c r="AL258" s="125" t="s">
        <v>708</v>
      </c>
      <c r="AM258" s="126">
        <v>45257</v>
      </c>
      <c r="AP258" s="125">
        <v>2</v>
      </c>
      <c r="AQ258" s="125">
        <v>26.437999999999999</v>
      </c>
      <c r="BA258" s="125" t="s">
        <v>581</v>
      </c>
      <c r="BB258" s="125">
        <v>5316490</v>
      </c>
    </row>
    <row r="259" spans="1:54" x14ac:dyDescent="0.3">
      <c r="A259" s="125" t="s">
        <v>294</v>
      </c>
      <c r="B259" s="125" t="s">
        <v>155</v>
      </c>
      <c r="C259" s="125" t="s">
        <v>56</v>
      </c>
      <c r="D259" s="125">
        <v>4</v>
      </c>
      <c r="E259" s="125">
        <v>2920.0059999999999</v>
      </c>
      <c r="F259" s="125">
        <v>1781</v>
      </c>
      <c r="G259" s="125">
        <v>200.00399999999999</v>
      </c>
      <c r="H259" s="125">
        <v>2529.29</v>
      </c>
      <c r="J259" s="125">
        <v>12221</v>
      </c>
      <c r="K259" s="126"/>
      <c r="L259" s="125" t="s">
        <v>278</v>
      </c>
      <c r="M259" s="126">
        <v>45257</v>
      </c>
      <c r="W259" s="125">
        <v>1.0329999999999999</v>
      </c>
      <c r="AD259" s="125" t="s">
        <v>277</v>
      </c>
      <c r="AF259" s="125" t="s">
        <v>712</v>
      </c>
      <c r="AG259" s="125" t="s">
        <v>706</v>
      </c>
      <c r="AL259" s="125" t="s">
        <v>708</v>
      </c>
      <c r="AM259" s="126">
        <v>45258</v>
      </c>
      <c r="AQ259" s="125">
        <v>5.9859999999999998</v>
      </c>
      <c r="BA259" s="125" t="s">
        <v>404</v>
      </c>
      <c r="BB259" s="125">
        <v>5284458</v>
      </c>
    </row>
    <row r="260" spans="1:54" x14ac:dyDescent="0.3">
      <c r="A260" s="125" t="s">
        <v>294</v>
      </c>
      <c r="B260" s="125" t="s">
        <v>205</v>
      </c>
      <c r="C260" s="125" t="s">
        <v>56</v>
      </c>
      <c r="D260" s="125">
        <v>4</v>
      </c>
      <c r="E260" s="125">
        <v>3130.0070000000001</v>
      </c>
      <c r="F260" s="125">
        <v>2081.0010000000002</v>
      </c>
      <c r="G260" s="125">
        <v>200.00399999999999</v>
      </c>
      <c r="H260" s="125">
        <v>3124.13</v>
      </c>
      <c r="J260" s="125">
        <v>13250</v>
      </c>
      <c r="K260" s="126"/>
      <c r="L260" s="125" t="s">
        <v>278</v>
      </c>
      <c r="M260" s="126">
        <v>45261</v>
      </c>
      <c r="W260" s="125">
        <v>1.272</v>
      </c>
      <c r="AD260" s="125" t="s">
        <v>277</v>
      </c>
      <c r="AF260" s="125" t="s">
        <v>710</v>
      </c>
      <c r="AG260" s="125" t="s">
        <v>712</v>
      </c>
      <c r="AL260" s="125" t="s">
        <v>708</v>
      </c>
      <c r="AM260" s="126">
        <v>45264</v>
      </c>
      <c r="AQ260" s="125">
        <v>20.077999999999999</v>
      </c>
      <c r="BA260" s="125" t="s">
        <v>436</v>
      </c>
      <c r="BB260" s="125">
        <v>5284606</v>
      </c>
    </row>
    <row r="261" spans="1:54" x14ac:dyDescent="0.3">
      <c r="A261" s="125" t="s">
        <v>294</v>
      </c>
      <c r="B261" s="125" t="s">
        <v>288</v>
      </c>
      <c r="C261" s="125" t="s">
        <v>56</v>
      </c>
      <c r="D261" s="125">
        <v>1</v>
      </c>
      <c r="E261" s="125">
        <v>1110</v>
      </c>
      <c r="F261" s="125">
        <v>8031.0010000000002</v>
      </c>
      <c r="G261" s="125">
        <v>140.00200000000001</v>
      </c>
      <c r="H261" s="125">
        <v>3070.45</v>
      </c>
      <c r="J261" s="125">
        <v>15580</v>
      </c>
      <c r="K261" s="126"/>
      <c r="L261" s="125" t="s">
        <v>278</v>
      </c>
      <c r="M261" s="126">
        <v>45278</v>
      </c>
      <c r="W261" s="125">
        <v>1.244</v>
      </c>
      <c r="AD261" s="125" t="s">
        <v>359</v>
      </c>
      <c r="AF261" s="125" t="s">
        <v>710</v>
      </c>
      <c r="AG261" s="125" t="s">
        <v>707</v>
      </c>
      <c r="AL261" s="125" t="s">
        <v>708</v>
      </c>
      <c r="AM261" s="126">
        <v>45279</v>
      </c>
      <c r="AQ261" s="125">
        <v>26.245999999999999</v>
      </c>
      <c r="BA261" s="125" t="s">
        <v>670</v>
      </c>
      <c r="BB261" s="125">
        <v>5327881</v>
      </c>
    </row>
    <row r="262" spans="1:54" x14ac:dyDescent="0.3">
      <c r="A262" s="125" t="s">
        <v>294</v>
      </c>
      <c r="B262" s="125" t="s">
        <v>210</v>
      </c>
      <c r="C262" s="125" t="s">
        <v>56</v>
      </c>
      <c r="D262" s="125">
        <v>4</v>
      </c>
      <c r="E262" s="125">
        <v>3130.0070000000001</v>
      </c>
      <c r="F262" s="125">
        <v>6609.9989999999998</v>
      </c>
      <c r="G262" s="125">
        <v>200.03700000000001</v>
      </c>
      <c r="H262" s="125">
        <v>8937.85</v>
      </c>
      <c r="J262" s="125">
        <v>11030</v>
      </c>
      <c r="K262" s="126"/>
      <c r="L262" s="125" t="s">
        <v>753</v>
      </c>
      <c r="M262" s="126">
        <v>45250</v>
      </c>
      <c r="W262" s="125">
        <v>3.6520000000000001</v>
      </c>
      <c r="AD262" s="125" t="s">
        <v>277</v>
      </c>
      <c r="AF262" s="125" t="s">
        <v>712</v>
      </c>
      <c r="AG262" s="125" t="s">
        <v>711</v>
      </c>
      <c r="AL262" s="125" t="s">
        <v>708</v>
      </c>
      <c r="AM262" s="126">
        <v>45251</v>
      </c>
      <c r="AQ262" s="125">
        <v>30.646000000000001</v>
      </c>
      <c r="BA262" s="125" t="s">
        <v>405</v>
      </c>
      <c r="BB262" s="125">
        <v>5284470</v>
      </c>
    </row>
    <row r="263" spans="1:54" x14ac:dyDescent="0.3">
      <c r="A263" s="125" t="s">
        <v>294</v>
      </c>
      <c r="B263" s="125" t="s">
        <v>196</v>
      </c>
      <c r="C263" s="125" t="s">
        <v>56</v>
      </c>
      <c r="D263" s="125">
        <v>4</v>
      </c>
      <c r="E263" s="125">
        <v>2920.0070000000001</v>
      </c>
      <c r="F263" s="125">
        <v>3430</v>
      </c>
      <c r="G263" s="125">
        <v>200.006</v>
      </c>
      <c r="H263" s="125">
        <v>4869.1400000000003</v>
      </c>
      <c r="J263" s="125">
        <v>11110</v>
      </c>
      <c r="K263" s="126"/>
      <c r="L263" s="125" t="s">
        <v>753</v>
      </c>
      <c r="M263" s="126">
        <v>45250</v>
      </c>
      <c r="W263" s="125">
        <v>1.988</v>
      </c>
      <c r="AD263" s="125" t="s">
        <v>277</v>
      </c>
      <c r="AF263" s="125" t="s">
        <v>712</v>
      </c>
      <c r="AG263" s="125" t="s">
        <v>711</v>
      </c>
      <c r="AL263" s="125" t="s">
        <v>708</v>
      </c>
      <c r="AM263" s="126">
        <v>45251</v>
      </c>
      <c r="AQ263" s="125">
        <v>15.66</v>
      </c>
      <c r="BA263" s="125" t="s">
        <v>452</v>
      </c>
      <c r="BB263" s="125">
        <v>5284656</v>
      </c>
    </row>
    <row r="264" spans="1:54" x14ac:dyDescent="0.3">
      <c r="A264" s="125" t="s">
        <v>294</v>
      </c>
      <c r="B264" s="125" t="s">
        <v>282</v>
      </c>
      <c r="C264" s="125" t="s">
        <v>56</v>
      </c>
      <c r="D264" s="125">
        <v>1</v>
      </c>
      <c r="E264" s="125">
        <v>1110</v>
      </c>
      <c r="F264" s="125">
        <v>5775</v>
      </c>
      <c r="G264" s="125">
        <v>140.005</v>
      </c>
      <c r="H264" s="125">
        <v>2203.0300000000002</v>
      </c>
      <c r="J264" s="125">
        <v>15650</v>
      </c>
      <c r="K264" s="126"/>
      <c r="L264" s="125" t="s">
        <v>753</v>
      </c>
      <c r="M264" s="126">
        <v>45278</v>
      </c>
      <c r="W264" s="125">
        <v>0.89200000000000002</v>
      </c>
      <c r="AD264" s="125" t="s">
        <v>359</v>
      </c>
      <c r="AF264" s="125" t="s">
        <v>710</v>
      </c>
      <c r="AG264" s="125" t="s">
        <v>707</v>
      </c>
      <c r="AL264" s="125" t="s">
        <v>708</v>
      </c>
      <c r="AM264" s="126">
        <v>45279</v>
      </c>
      <c r="AQ264" s="125">
        <v>19.03</v>
      </c>
      <c r="BA264" s="125" t="s">
        <v>667</v>
      </c>
      <c r="BB264" s="125">
        <v>5327876</v>
      </c>
    </row>
    <row r="265" spans="1:54" x14ac:dyDescent="0.3">
      <c r="A265" s="125" t="s">
        <v>294</v>
      </c>
      <c r="B265" s="125" t="s">
        <v>186</v>
      </c>
      <c r="C265" s="125" t="s">
        <v>56</v>
      </c>
      <c r="D265" s="125">
        <v>1</v>
      </c>
      <c r="E265" s="125">
        <v>3630.0070000000001</v>
      </c>
      <c r="F265" s="125">
        <v>6609.9989999999998</v>
      </c>
      <c r="G265" s="125">
        <v>200.03700000000001</v>
      </c>
      <c r="H265" s="125">
        <v>10500.57</v>
      </c>
      <c r="J265" s="125">
        <v>14400</v>
      </c>
      <c r="K265" s="126"/>
      <c r="L265" s="125" t="s">
        <v>754</v>
      </c>
      <c r="M265" s="126">
        <v>45271</v>
      </c>
      <c r="W265" s="125">
        <v>4.282</v>
      </c>
      <c r="AD265" s="125" t="s">
        <v>277</v>
      </c>
      <c r="AF265" s="125" t="s">
        <v>710</v>
      </c>
      <c r="AG265" s="125" t="s">
        <v>710</v>
      </c>
      <c r="AL265" s="125" t="s">
        <v>708</v>
      </c>
      <c r="AM265" s="126">
        <v>45272</v>
      </c>
      <c r="AQ265" s="125">
        <v>50.963999999999999</v>
      </c>
      <c r="BA265" s="125" t="s">
        <v>645</v>
      </c>
      <c r="BB265" s="125">
        <v>5332500</v>
      </c>
    </row>
    <row r="266" spans="1:54" x14ac:dyDescent="0.3">
      <c r="A266" s="125" t="s">
        <v>294</v>
      </c>
      <c r="B266" s="125" t="s">
        <v>516</v>
      </c>
      <c r="C266" s="125" t="s">
        <v>57</v>
      </c>
      <c r="D266" s="125">
        <v>1</v>
      </c>
      <c r="E266" s="125">
        <v>3270.0079999999998</v>
      </c>
      <c r="F266" s="125">
        <v>7775.0519999999997</v>
      </c>
      <c r="G266" s="125">
        <v>595.03</v>
      </c>
      <c r="H266" s="125">
        <v>9904.59</v>
      </c>
      <c r="J266" s="125">
        <v>8630</v>
      </c>
      <c r="K266" s="126"/>
      <c r="L266" s="125" t="s">
        <v>348</v>
      </c>
      <c r="M266" s="126">
        <v>45236</v>
      </c>
      <c r="W266" s="125">
        <v>3.8620000000000001</v>
      </c>
      <c r="AD266" s="125" t="s">
        <v>584</v>
      </c>
      <c r="AF266" s="125" t="s">
        <v>706</v>
      </c>
      <c r="AG266" s="125" t="s">
        <v>755</v>
      </c>
      <c r="AL266" s="125" t="s">
        <v>708</v>
      </c>
      <c r="AM266" s="126">
        <v>45237</v>
      </c>
      <c r="AP266" s="125">
        <v>2</v>
      </c>
      <c r="AQ266" s="125">
        <v>45.866</v>
      </c>
      <c r="BA266" s="125" t="s">
        <v>515</v>
      </c>
      <c r="BB266" s="125">
        <v>5312200</v>
      </c>
    </row>
    <row r="267" spans="1:54" x14ac:dyDescent="0.3">
      <c r="A267" s="125" t="s">
        <v>294</v>
      </c>
      <c r="B267" s="125" t="s">
        <v>137</v>
      </c>
      <c r="C267" s="125" t="s">
        <v>56</v>
      </c>
      <c r="D267" s="125">
        <v>2</v>
      </c>
      <c r="E267" s="125">
        <v>3630</v>
      </c>
      <c r="F267" s="125">
        <v>1560</v>
      </c>
      <c r="G267" s="125">
        <v>200</v>
      </c>
      <c r="H267" s="125">
        <v>2771.74</v>
      </c>
      <c r="J267" s="125">
        <v>6360</v>
      </c>
      <c r="K267" s="126">
        <v>45159</v>
      </c>
      <c r="L267" s="125" t="s">
        <v>753</v>
      </c>
      <c r="M267" s="126">
        <v>45215</v>
      </c>
      <c r="W267" s="125">
        <v>1.1240000000000001</v>
      </c>
      <c r="AD267" s="125" t="s">
        <v>277</v>
      </c>
      <c r="AF267" s="125" t="s">
        <v>711</v>
      </c>
      <c r="AG267" s="125" t="s">
        <v>710</v>
      </c>
      <c r="AL267" s="125" t="s">
        <v>765</v>
      </c>
      <c r="AM267" s="126">
        <v>45216</v>
      </c>
      <c r="AQ267" s="125">
        <v>23.03</v>
      </c>
      <c r="BA267" s="125" t="s">
        <v>771</v>
      </c>
      <c r="BB267" s="125">
        <v>5287935</v>
      </c>
    </row>
    <row r="268" spans="1:54" x14ac:dyDescent="0.3">
      <c r="A268" s="125" t="s">
        <v>294</v>
      </c>
      <c r="B268" s="125" t="s">
        <v>267</v>
      </c>
      <c r="C268" s="125" t="s">
        <v>56</v>
      </c>
      <c r="D268" s="125">
        <v>4</v>
      </c>
      <c r="E268" s="125">
        <v>3130.0070000000001</v>
      </c>
      <c r="F268" s="125">
        <v>7810</v>
      </c>
      <c r="G268" s="125">
        <v>200.00299999999999</v>
      </c>
      <c r="H268" s="125">
        <v>11113.58</v>
      </c>
      <c r="J268" s="125">
        <v>10990</v>
      </c>
      <c r="K268" s="126"/>
      <c r="L268" s="125" t="s">
        <v>753</v>
      </c>
      <c r="M268" s="126">
        <v>45247</v>
      </c>
      <c r="W268" s="125">
        <v>4.5380000000000003</v>
      </c>
      <c r="AD268" s="125" t="s">
        <v>277</v>
      </c>
      <c r="AF268" s="125" t="s">
        <v>712</v>
      </c>
      <c r="AG268" s="125" t="s">
        <v>711</v>
      </c>
      <c r="AL268" s="125" t="s">
        <v>708</v>
      </c>
      <c r="AM268" s="126">
        <v>45250</v>
      </c>
      <c r="AQ268" s="125">
        <v>46.154000000000003</v>
      </c>
      <c r="BA268" s="125" t="s">
        <v>425</v>
      </c>
      <c r="BB268" s="125">
        <v>5284552</v>
      </c>
    </row>
    <row r="269" spans="1:54" x14ac:dyDescent="0.3">
      <c r="A269" s="125" t="s">
        <v>294</v>
      </c>
      <c r="B269" s="125" t="s">
        <v>307</v>
      </c>
      <c r="C269" s="125" t="s">
        <v>57</v>
      </c>
      <c r="D269" s="125">
        <v>2</v>
      </c>
      <c r="E269" s="125">
        <v>3280.0010000000002</v>
      </c>
      <c r="F269" s="125">
        <v>8414.9989999999998</v>
      </c>
      <c r="G269" s="125">
        <v>595.02599999999995</v>
      </c>
      <c r="H269" s="125">
        <v>10403.700000000001</v>
      </c>
      <c r="J269" s="125">
        <v>12030</v>
      </c>
      <c r="K269" s="126"/>
      <c r="L269" s="125" t="s">
        <v>348</v>
      </c>
      <c r="M269" s="126">
        <v>45254</v>
      </c>
      <c r="W269" s="125">
        <v>4.1100000000000003</v>
      </c>
      <c r="AD269" s="125" t="s">
        <v>584</v>
      </c>
      <c r="AF269" s="125" t="s">
        <v>712</v>
      </c>
      <c r="AG269" s="125" t="s">
        <v>706</v>
      </c>
      <c r="AL269" s="125" t="s">
        <v>280</v>
      </c>
      <c r="AM269" s="126">
        <v>45257</v>
      </c>
      <c r="AP269" s="125">
        <v>1</v>
      </c>
      <c r="AQ269" s="125">
        <v>55.100999999999999</v>
      </c>
      <c r="BA269" s="125" t="s">
        <v>598</v>
      </c>
      <c r="BB269" s="125">
        <v>5326752</v>
      </c>
    </row>
    <row r="270" spans="1:54" x14ac:dyDescent="0.3">
      <c r="A270" s="125" t="s">
        <v>294</v>
      </c>
      <c r="B270" s="125" t="s">
        <v>227</v>
      </c>
      <c r="C270" s="125" t="s">
        <v>56</v>
      </c>
      <c r="D270" s="125">
        <v>4</v>
      </c>
      <c r="E270" s="125">
        <v>2920.0149999999999</v>
      </c>
      <c r="F270" s="125">
        <v>5110</v>
      </c>
      <c r="G270" s="125">
        <v>200.00200000000001</v>
      </c>
      <c r="H270" s="125">
        <v>7269.44</v>
      </c>
      <c r="J270" s="125">
        <v>11000</v>
      </c>
      <c r="K270" s="126"/>
      <c r="L270" s="125" t="s">
        <v>753</v>
      </c>
      <c r="M270" s="126">
        <v>45247</v>
      </c>
      <c r="W270" s="125">
        <v>2.97</v>
      </c>
      <c r="AD270" s="125" t="s">
        <v>277</v>
      </c>
      <c r="AF270" s="125" t="s">
        <v>712</v>
      </c>
      <c r="AG270" s="125" t="s">
        <v>711</v>
      </c>
      <c r="AL270" s="125" t="s">
        <v>708</v>
      </c>
      <c r="AM270" s="126">
        <v>45250</v>
      </c>
      <c r="AQ270" s="125">
        <v>23.006</v>
      </c>
      <c r="BA270" s="125" t="s">
        <v>443</v>
      </c>
      <c r="BB270" s="125">
        <v>5284628</v>
      </c>
    </row>
    <row r="271" spans="1:54" x14ac:dyDescent="0.3">
      <c r="A271" s="125" t="s">
        <v>294</v>
      </c>
      <c r="B271" s="125" t="s">
        <v>152</v>
      </c>
      <c r="C271" s="125" t="s">
        <v>56</v>
      </c>
      <c r="D271" s="125">
        <v>1</v>
      </c>
      <c r="E271" s="125">
        <v>3130.0010000000002</v>
      </c>
      <c r="F271" s="125">
        <v>5702.0240000000003</v>
      </c>
      <c r="G271" s="125">
        <v>200.029</v>
      </c>
      <c r="H271" s="125">
        <v>7502.89</v>
      </c>
      <c r="J271" s="125">
        <v>15480</v>
      </c>
      <c r="K271" s="126"/>
      <c r="L271" s="125" t="s">
        <v>278</v>
      </c>
      <c r="M271" s="126">
        <v>45278</v>
      </c>
      <c r="W271" s="125">
        <v>3.056</v>
      </c>
      <c r="AD271" s="125" t="s">
        <v>277</v>
      </c>
      <c r="AF271" s="125" t="s">
        <v>710</v>
      </c>
      <c r="AG271" s="125" t="s">
        <v>707</v>
      </c>
      <c r="AL271" s="125" t="s">
        <v>708</v>
      </c>
      <c r="AM271" s="126">
        <v>45279</v>
      </c>
      <c r="AQ271" s="125">
        <v>36.526000000000003</v>
      </c>
      <c r="BA271" s="125" t="s">
        <v>675</v>
      </c>
      <c r="BB271" s="125">
        <v>5332497</v>
      </c>
    </row>
    <row r="272" spans="1:54" x14ac:dyDescent="0.3">
      <c r="A272" s="125" t="s">
        <v>294</v>
      </c>
      <c r="B272" s="125" t="s">
        <v>146</v>
      </c>
      <c r="C272" s="125" t="s">
        <v>56</v>
      </c>
      <c r="D272" s="125">
        <v>4</v>
      </c>
      <c r="E272" s="125">
        <v>2920.0070000000001</v>
      </c>
      <c r="F272" s="125">
        <v>2460</v>
      </c>
      <c r="G272" s="125">
        <v>200.00200000000001</v>
      </c>
      <c r="H272" s="125">
        <v>3385.18</v>
      </c>
      <c r="J272" s="125">
        <v>11020</v>
      </c>
      <c r="K272" s="126"/>
      <c r="L272" s="125" t="s">
        <v>753</v>
      </c>
      <c r="M272" s="126">
        <v>45250</v>
      </c>
      <c r="W272" s="125">
        <v>1.375</v>
      </c>
      <c r="AD272" s="125" t="s">
        <v>277</v>
      </c>
      <c r="AF272" s="125" t="s">
        <v>712</v>
      </c>
      <c r="AG272" s="125" t="s">
        <v>711</v>
      </c>
      <c r="AL272" s="125" t="s">
        <v>708</v>
      </c>
      <c r="AM272" s="126">
        <v>45251</v>
      </c>
      <c r="AQ272" s="125">
        <v>31.152999999999999</v>
      </c>
      <c r="BA272" s="125" t="s">
        <v>402</v>
      </c>
      <c r="BB272" s="125">
        <v>5284450</v>
      </c>
    </row>
    <row r="273" spans="1:54" x14ac:dyDescent="0.3">
      <c r="A273" s="125" t="s">
        <v>294</v>
      </c>
      <c r="B273" s="125" t="s">
        <v>267</v>
      </c>
      <c r="C273" s="125" t="s">
        <v>56</v>
      </c>
      <c r="D273" s="125">
        <v>4</v>
      </c>
      <c r="E273" s="125">
        <v>3130.0070000000001</v>
      </c>
      <c r="F273" s="125">
        <v>7810</v>
      </c>
      <c r="G273" s="125">
        <v>200.00299999999999</v>
      </c>
      <c r="H273" s="125">
        <v>11113.58</v>
      </c>
      <c r="J273" s="125">
        <v>12130</v>
      </c>
      <c r="K273" s="126"/>
      <c r="L273" s="125" t="s">
        <v>753</v>
      </c>
      <c r="M273" s="126">
        <v>45254</v>
      </c>
      <c r="W273" s="125">
        <v>4.5380000000000003</v>
      </c>
      <c r="AD273" s="125" t="s">
        <v>277</v>
      </c>
      <c r="AF273" s="125" t="s">
        <v>712</v>
      </c>
      <c r="AG273" s="125" t="s">
        <v>706</v>
      </c>
      <c r="AL273" s="125" t="s">
        <v>708</v>
      </c>
      <c r="AM273" s="126">
        <v>45257</v>
      </c>
      <c r="AQ273" s="125">
        <v>46.154000000000003</v>
      </c>
      <c r="BA273" s="125" t="s">
        <v>464</v>
      </c>
      <c r="BB273" s="125">
        <v>5284696</v>
      </c>
    </row>
    <row r="274" spans="1:54" x14ac:dyDescent="0.3">
      <c r="A274" s="125" t="s">
        <v>294</v>
      </c>
      <c r="B274" s="125" t="s">
        <v>316</v>
      </c>
      <c r="C274" s="125" t="s">
        <v>57</v>
      </c>
      <c r="D274" s="125">
        <v>3</v>
      </c>
      <c r="E274" s="125">
        <v>3280.0010000000002</v>
      </c>
      <c r="F274" s="125">
        <v>6160.0060000000003</v>
      </c>
      <c r="G274" s="125">
        <v>595.01700000000005</v>
      </c>
      <c r="H274" s="125">
        <v>9592.17</v>
      </c>
      <c r="J274" s="125">
        <v>13220</v>
      </c>
      <c r="K274" s="126"/>
      <c r="L274" s="125" t="s">
        <v>349</v>
      </c>
      <c r="M274" s="126">
        <v>45261</v>
      </c>
      <c r="W274" s="125">
        <v>3.802</v>
      </c>
      <c r="AD274" s="125" t="s">
        <v>584</v>
      </c>
      <c r="AF274" s="125" t="s">
        <v>710</v>
      </c>
      <c r="AG274" s="125" t="s">
        <v>712</v>
      </c>
      <c r="AL274" s="125" t="s">
        <v>708</v>
      </c>
      <c r="AM274" s="126">
        <v>45264</v>
      </c>
      <c r="AQ274" s="125">
        <v>65.738</v>
      </c>
      <c r="BA274" s="125" t="s">
        <v>616</v>
      </c>
      <c r="BB274" s="125">
        <v>5331478</v>
      </c>
    </row>
    <row r="275" spans="1:54" x14ac:dyDescent="0.3">
      <c r="A275" s="125" t="s">
        <v>294</v>
      </c>
      <c r="B275" s="125" t="s">
        <v>292</v>
      </c>
      <c r="C275" s="125" t="s">
        <v>56</v>
      </c>
      <c r="D275" s="125">
        <v>1</v>
      </c>
      <c r="E275" s="125">
        <v>1110</v>
      </c>
      <c r="F275" s="125">
        <v>6210</v>
      </c>
      <c r="G275" s="125">
        <v>140</v>
      </c>
      <c r="H275" s="125">
        <v>2379.44</v>
      </c>
      <c r="J275" s="125">
        <v>15610</v>
      </c>
      <c r="K275" s="126"/>
      <c r="L275" s="125" t="s">
        <v>753</v>
      </c>
      <c r="M275" s="126">
        <v>45278</v>
      </c>
      <c r="W275" s="125">
        <v>0.96199999999999997</v>
      </c>
      <c r="AD275" s="125" t="s">
        <v>359</v>
      </c>
      <c r="AF275" s="125" t="s">
        <v>710</v>
      </c>
      <c r="AG275" s="125" t="s">
        <v>707</v>
      </c>
      <c r="AL275" s="125" t="s">
        <v>708</v>
      </c>
      <c r="AM275" s="126">
        <v>45279</v>
      </c>
      <c r="AQ275" s="125">
        <v>20.59</v>
      </c>
      <c r="BA275" s="125" t="s">
        <v>669</v>
      </c>
      <c r="BB275" s="125">
        <v>5327880</v>
      </c>
    </row>
    <row r="276" spans="1:54" x14ac:dyDescent="0.3">
      <c r="A276" s="125" t="s">
        <v>294</v>
      </c>
      <c r="B276" s="125" t="s">
        <v>520</v>
      </c>
      <c r="C276" s="125" t="s">
        <v>57</v>
      </c>
      <c r="D276" s="125">
        <v>1</v>
      </c>
      <c r="E276" s="125">
        <v>3275.0070000000001</v>
      </c>
      <c r="F276" s="125">
        <v>8510.7980000000007</v>
      </c>
      <c r="G276" s="125">
        <v>595</v>
      </c>
      <c r="H276" s="125">
        <v>9618.09</v>
      </c>
      <c r="J276" s="125">
        <v>8570</v>
      </c>
      <c r="K276" s="126"/>
      <c r="L276" s="125" t="s">
        <v>349</v>
      </c>
      <c r="M276" s="126">
        <v>45233</v>
      </c>
      <c r="W276" s="125">
        <v>3.7589999999999999</v>
      </c>
      <c r="AD276" s="125" t="s">
        <v>744</v>
      </c>
      <c r="AF276" s="125" t="s">
        <v>706</v>
      </c>
      <c r="AG276" s="125" t="s">
        <v>755</v>
      </c>
      <c r="AL276" s="125" t="s">
        <v>280</v>
      </c>
      <c r="AM276" s="126">
        <v>45236</v>
      </c>
      <c r="AP276" s="125">
        <v>3</v>
      </c>
      <c r="AQ276" s="125">
        <v>81.41</v>
      </c>
      <c r="BA276" s="125" t="s">
        <v>519</v>
      </c>
      <c r="BB276" s="125">
        <v>5312217</v>
      </c>
    </row>
    <row r="277" spans="1:54" x14ac:dyDescent="0.3">
      <c r="A277" s="125" t="s">
        <v>294</v>
      </c>
      <c r="B277" s="125" t="s">
        <v>260</v>
      </c>
      <c r="C277" s="125" t="s">
        <v>56</v>
      </c>
      <c r="D277" s="125">
        <v>1</v>
      </c>
      <c r="E277" s="125">
        <v>3130</v>
      </c>
      <c r="F277" s="125">
        <v>2531</v>
      </c>
      <c r="G277" s="125">
        <v>200</v>
      </c>
      <c r="H277" s="125">
        <v>3660.73</v>
      </c>
      <c r="J277" s="125">
        <v>15530</v>
      </c>
      <c r="K277" s="126"/>
      <c r="L277" s="125" t="s">
        <v>278</v>
      </c>
      <c r="M277" s="126">
        <v>45278</v>
      </c>
      <c r="W277" s="125">
        <v>1.496</v>
      </c>
      <c r="AD277" s="125" t="s">
        <v>277</v>
      </c>
      <c r="AF277" s="125" t="s">
        <v>710</v>
      </c>
      <c r="AG277" s="125" t="s">
        <v>707</v>
      </c>
      <c r="AL277" s="125" t="s">
        <v>708</v>
      </c>
      <c r="AM277" s="126">
        <v>45279</v>
      </c>
      <c r="AQ277" s="125">
        <v>10.656000000000001</v>
      </c>
      <c r="BA277" s="125" t="s">
        <v>501</v>
      </c>
      <c r="BB277" s="125">
        <v>5310377</v>
      </c>
    </row>
    <row r="278" spans="1:54" x14ac:dyDescent="0.3">
      <c r="A278" s="125" t="s">
        <v>294</v>
      </c>
      <c r="B278" s="125" t="s">
        <v>211</v>
      </c>
      <c r="C278" s="125" t="s">
        <v>56</v>
      </c>
      <c r="D278" s="125">
        <v>4</v>
      </c>
      <c r="E278" s="125">
        <v>3130</v>
      </c>
      <c r="F278" s="125">
        <v>1560</v>
      </c>
      <c r="G278" s="125">
        <v>200</v>
      </c>
      <c r="H278" s="125">
        <v>2369.6799999999998</v>
      </c>
      <c r="J278" s="125">
        <v>10090</v>
      </c>
      <c r="K278" s="126"/>
      <c r="L278" s="125" t="s">
        <v>753</v>
      </c>
      <c r="M278" s="126">
        <v>45244</v>
      </c>
      <c r="W278" s="125">
        <v>0.96899999999999997</v>
      </c>
      <c r="AD278" s="125" t="s">
        <v>277</v>
      </c>
      <c r="AF278" s="125" t="s">
        <v>706</v>
      </c>
      <c r="AG278" s="125" t="s">
        <v>713</v>
      </c>
      <c r="AL278" s="125" t="s">
        <v>708</v>
      </c>
      <c r="AM278" s="126">
        <v>45245</v>
      </c>
      <c r="AQ278" s="125">
        <v>5.7160000000000002</v>
      </c>
      <c r="BA278" s="125" t="s">
        <v>488</v>
      </c>
      <c r="BB278" s="125">
        <v>5284806</v>
      </c>
    </row>
    <row r="279" spans="1:54" x14ac:dyDescent="0.3">
      <c r="A279" s="125" t="s">
        <v>294</v>
      </c>
      <c r="B279" s="125" t="s">
        <v>330</v>
      </c>
      <c r="C279" s="125" t="s">
        <v>57</v>
      </c>
      <c r="D279" s="125">
        <v>4</v>
      </c>
      <c r="E279" s="125">
        <v>3280.0219999999999</v>
      </c>
      <c r="F279" s="125">
        <v>6170.0129999999999</v>
      </c>
      <c r="G279" s="125">
        <v>595</v>
      </c>
      <c r="H279" s="125">
        <v>7075.69</v>
      </c>
      <c r="J279" s="125">
        <v>13190</v>
      </c>
      <c r="K279" s="126"/>
      <c r="L279" s="125" t="s">
        <v>348</v>
      </c>
      <c r="M279" s="126">
        <v>45261</v>
      </c>
      <c r="W279" s="125">
        <v>2.8</v>
      </c>
      <c r="AD279" s="125" t="s">
        <v>584</v>
      </c>
      <c r="AF279" s="125" t="s">
        <v>710</v>
      </c>
      <c r="AG279" s="125" t="s">
        <v>712</v>
      </c>
      <c r="AL279" s="125" t="s">
        <v>708</v>
      </c>
      <c r="AM279" s="126">
        <v>45264</v>
      </c>
      <c r="AP279" s="125">
        <v>2</v>
      </c>
      <c r="AQ279" s="125">
        <v>33.588999999999999</v>
      </c>
      <c r="BA279" s="125" t="s">
        <v>594</v>
      </c>
      <c r="BB279" s="125">
        <v>5326618</v>
      </c>
    </row>
    <row r="280" spans="1:54" x14ac:dyDescent="0.3">
      <c r="A280" s="125" t="s">
        <v>294</v>
      </c>
      <c r="B280" s="125" t="s">
        <v>187</v>
      </c>
      <c r="C280" s="125" t="s">
        <v>56</v>
      </c>
      <c r="D280" s="125">
        <v>4</v>
      </c>
      <c r="E280" s="125">
        <v>2920.0070000000001</v>
      </c>
      <c r="F280" s="125">
        <v>4145</v>
      </c>
      <c r="G280" s="125">
        <v>200.00299999999999</v>
      </c>
      <c r="H280" s="125">
        <v>5884.73</v>
      </c>
      <c r="J280" s="125">
        <v>11100</v>
      </c>
      <c r="K280" s="126"/>
      <c r="L280" s="125" t="s">
        <v>753</v>
      </c>
      <c r="M280" s="126">
        <v>45250</v>
      </c>
      <c r="W280" s="125">
        <v>2.4060000000000001</v>
      </c>
      <c r="AD280" s="125" t="s">
        <v>277</v>
      </c>
      <c r="AF280" s="125" t="s">
        <v>712</v>
      </c>
      <c r="AG280" s="125" t="s">
        <v>711</v>
      </c>
      <c r="AL280" s="125" t="s">
        <v>708</v>
      </c>
      <c r="AM280" s="126">
        <v>45251</v>
      </c>
      <c r="AQ280" s="125">
        <v>16.251000000000001</v>
      </c>
      <c r="BA280" s="125" t="s">
        <v>414</v>
      </c>
      <c r="BB280" s="125">
        <v>5284523</v>
      </c>
    </row>
    <row r="281" spans="1:54" x14ac:dyDescent="0.3">
      <c r="A281" s="125" t="s">
        <v>294</v>
      </c>
      <c r="B281" s="125" t="s">
        <v>147</v>
      </c>
      <c r="C281" s="125" t="s">
        <v>56</v>
      </c>
      <c r="D281" s="125">
        <v>3</v>
      </c>
      <c r="E281" s="125">
        <v>2920.0149999999999</v>
      </c>
      <c r="F281" s="125">
        <v>2380.0010000000002</v>
      </c>
      <c r="G281" s="125">
        <v>200.03899999999999</v>
      </c>
      <c r="H281" s="125">
        <v>2305.7199999999998</v>
      </c>
      <c r="J281" s="125">
        <v>13330</v>
      </c>
      <c r="K281" s="126"/>
      <c r="L281" s="125" t="s">
        <v>753</v>
      </c>
      <c r="M281" s="126">
        <v>45264</v>
      </c>
      <c r="W281" s="125">
        <v>0.91800000000000004</v>
      </c>
      <c r="AD281" s="125" t="s">
        <v>277</v>
      </c>
      <c r="AF281" s="125" t="s">
        <v>710</v>
      </c>
      <c r="AG281" s="125" t="s">
        <v>712</v>
      </c>
      <c r="AL281" s="125" t="s">
        <v>708</v>
      </c>
      <c r="AM281" s="126">
        <v>45265</v>
      </c>
      <c r="AP281" s="125">
        <v>2</v>
      </c>
      <c r="AQ281" s="125">
        <v>14.186999999999999</v>
      </c>
      <c r="BA281" s="125" t="s">
        <v>424</v>
      </c>
      <c r="BB281" s="125">
        <v>5284548</v>
      </c>
    </row>
    <row r="282" spans="1:54" x14ac:dyDescent="0.3">
      <c r="A282" s="125" t="s">
        <v>294</v>
      </c>
      <c r="B282" s="125" t="s">
        <v>211</v>
      </c>
      <c r="C282" s="125" t="s">
        <v>56</v>
      </c>
      <c r="D282" s="125">
        <v>4</v>
      </c>
      <c r="E282" s="125">
        <v>3130</v>
      </c>
      <c r="F282" s="125">
        <v>1560</v>
      </c>
      <c r="G282" s="125">
        <v>200</v>
      </c>
      <c r="H282" s="125">
        <v>2369.6799999999998</v>
      </c>
      <c r="J282" s="125">
        <v>12340</v>
      </c>
      <c r="K282" s="126"/>
      <c r="L282" s="125" t="s">
        <v>753</v>
      </c>
      <c r="M282" s="126">
        <v>45257</v>
      </c>
      <c r="W282" s="125">
        <v>0.96899999999999997</v>
      </c>
      <c r="AD282" s="125" t="s">
        <v>277</v>
      </c>
      <c r="AF282" s="125" t="s">
        <v>712</v>
      </c>
      <c r="AG282" s="125" t="s">
        <v>706</v>
      </c>
      <c r="AL282" s="125" t="s">
        <v>708</v>
      </c>
      <c r="AM282" s="126">
        <v>45258</v>
      </c>
      <c r="AQ282" s="125">
        <v>5.7160000000000002</v>
      </c>
      <c r="BA282" s="125" t="s">
        <v>401</v>
      </c>
      <c r="BB282" s="125">
        <v>5284446</v>
      </c>
    </row>
    <row r="283" spans="1:54" x14ac:dyDescent="0.3">
      <c r="A283" s="125" t="s">
        <v>294</v>
      </c>
      <c r="B283" s="125" t="s">
        <v>203</v>
      </c>
      <c r="C283" s="125" t="s">
        <v>56</v>
      </c>
      <c r="D283" s="125">
        <v>4</v>
      </c>
      <c r="E283" s="125">
        <v>2920.0070000000001</v>
      </c>
      <c r="F283" s="125">
        <v>4560</v>
      </c>
      <c r="G283" s="125">
        <v>200.04</v>
      </c>
      <c r="H283" s="125">
        <v>6370.73</v>
      </c>
      <c r="J283" s="125">
        <v>13380</v>
      </c>
      <c r="K283" s="126"/>
      <c r="L283" s="125" t="s">
        <v>753</v>
      </c>
      <c r="M283" s="126">
        <v>45264</v>
      </c>
      <c r="W283" s="125">
        <v>2.5920000000000001</v>
      </c>
      <c r="AD283" s="125" t="s">
        <v>277</v>
      </c>
      <c r="AF283" s="125" t="s">
        <v>710</v>
      </c>
      <c r="AG283" s="125" t="s">
        <v>712</v>
      </c>
      <c r="AL283" s="125" t="s">
        <v>708</v>
      </c>
      <c r="AM283" s="126">
        <v>45265</v>
      </c>
      <c r="AQ283" s="125">
        <v>45.067999999999998</v>
      </c>
      <c r="BA283" s="125" t="s">
        <v>483</v>
      </c>
      <c r="BB283" s="125">
        <v>5284786</v>
      </c>
    </row>
    <row r="284" spans="1:54" x14ac:dyDescent="0.3">
      <c r="A284" s="125" t="s">
        <v>294</v>
      </c>
      <c r="B284" s="125" t="s">
        <v>212</v>
      </c>
      <c r="C284" s="125" t="s">
        <v>56</v>
      </c>
      <c r="D284" s="125">
        <v>4</v>
      </c>
      <c r="E284" s="125">
        <v>3130</v>
      </c>
      <c r="F284" s="125">
        <v>1560</v>
      </c>
      <c r="G284" s="125">
        <v>200</v>
      </c>
      <c r="H284" s="125">
        <v>2369.6799999999998</v>
      </c>
      <c r="J284" s="125">
        <v>13450</v>
      </c>
      <c r="K284" s="126"/>
      <c r="L284" s="125" t="s">
        <v>753</v>
      </c>
      <c r="M284" s="126">
        <v>45264</v>
      </c>
      <c r="W284" s="125">
        <v>0.96899999999999997</v>
      </c>
      <c r="AD284" s="125" t="s">
        <v>277</v>
      </c>
      <c r="AF284" s="125" t="s">
        <v>710</v>
      </c>
      <c r="AG284" s="125" t="s">
        <v>712</v>
      </c>
      <c r="AL284" s="125" t="s">
        <v>708</v>
      </c>
      <c r="AM284" s="126">
        <v>45265</v>
      </c>
      <c r="AQ284" s="125">
        <v>5.7160000000000002</v>
      </c>
      <c r="BA284" s="125" t="s">
        <v>458</v>
      </c>
      <c r="BB284" s="125">
        <v>5284684</v>
      </c>
    </row>
    <row r="285" spans="1:54" x14ac:dyDescent="0.3">
      <c r="A285" s="125" t="s">
        <v>294</v>
      </c>
      <c r="B285" s="125" t="s">
        <v>269</v>
      </c>
      <c r="C285" s="125" t="s">
        <v>56</v>
      </c>
      <c r="D285" s="125">
        <v>4</v>
      </c>
      <c r="E285" s="125">
        <v>2920</v>
      </c>
      <c r="F285" s="125">
        <v>2531</v>
      </c>
      <c r="G285" s="125">
        <v>200.001</v>
      </c>
      <c r="H285" s="125">
        <v>3588.59</v>
      </c>
      <c r="J285" s="125">
        <v>12310</v>
      </c>
      <c r="K285" s="126"/>
      <c r="L285" s="125" t="s">
        <v>278</v>
      </c>
      <c r="M285" s="126">
        <v>45257</v>
      </c>
      <c r="W285" s="125">
        <v>1.4670000000000001</v>
      </c>
      <c r="AD285" s="125" t="s">
        <v>277</v>
      </c>
      <c r="AF285" s="125" t="s">
        <v>712</v>
      </c>
      <c r="AG285" s="125" t="s">
        <v>706</v>
      </c>
      <c r="AL285" s="125" t="s">
        <v>708</v>
      </c>
      <c r="AM285" s="126">
        <v>45258</v>
      </c>
      <c r="AQ285" s="125">
        <v>10.656000000000001</v>
      </c>
      <c r="BA285" s="125" t="s">
        <v>477</v>
      </c>
      <c r="BB285" s="125">
        <v>5284769</v>
      </c>
    </row>
    <row r="286" spans="1:54" x14ac:dyDescent="0.3">
      <c r="A286" s="125" t="s">
        <v>294</v>
      </c>
      <c r="B286" s="125" t="s">
        <v>276</v>
      </c>
      <c r="C286" s="125" t="s">
        <v>56</v>
      </c>
      <c r="D286" s="125">
        <v>1</v>
      </c>
      <c r="E286" s="125">
        <v>2910</v>
      </c>
      <c r="F286" s="125">
        <v>2531</v>
      </c>
      <c r="G286" s="125">
        <v>200.001</v>
      </c>
      <c r="H286" s="125">
        <v>3579.48</v>
      </c>
      <c r="J286" s="125">
        <v>8950</v>
      </c>
      <c r="K286" s="126"/>
      <c r="L286" s="125" t="s">
        <v>278</v>
      </c>
      <c r="M286" s="126">
        <v>45237</v>
      </c>
      <c r="W286" s="125">
        <v>1.462</v>
      </c>
      <c r="AD286" s="125" t="s">
        <v>277</v>
      </c>
      <c r="AF286" s="125" t="s">
        <v>706</v>
      </c>
      <c r="AG286" s="125" t="s">
        <v>755</v>
      </c>
      <c r="AL286" s="125" t="s">
        <v>708</v>
      </c>
      <c r="AM286" s="126">
        <v>45238</v>
      </c>
      <c r="AQ286" s="125">
        <v>13.715999999999999</v>
      </c>
      <c r="BA286" s="125" t="s">
        <v>514</v>
      </c>
      <c r="BB286" s="125">
        <v>5312194</v>
      </c>
    </row>
    <row r="287" spans="1:54" x14ac:dyDescent="0.3">
      <c r="A287" s="125" t="s">
        <v>294</v>
      </c>
      <c r="B287" s="125" t="s">
        <v>230</v>
      </c>
      <c r="C287" s="125" t="s">
        <v>56</v>
      </c>
      <c r="D287" s="125">
        <v>2</v>
      </c>
      <c r="E287" s="125">
        <v>3400.0010000000002</v>
      </c>
      <c r="F287" s="125">
        <v>2002</v>
      </c>
      <c r="G287" s="125">
        <v>200.001</v>
      </c>
      <c r="H287" s="125">
        <v>1989.91</v>
      </c>
      <c r="J287" s="125">
        <v>6330</v>
      </c>
      <c r="K287" s="126">
        <v>45159</v>
      </c>
      <c r="L287" s="125" t="s">
        <v>278</v>
      </c>
      <c r="M287" s="126">
        <v>45215</v>
      </c>
      <c r="W287" s="125">
        <v>0.79700000000000004</v>
      </c>
      <c r="AD287" s="125" t="s">
        <v>277</v>
      </c>
      <c r="AF287" s="125" t="s">
        <v>711</v>
      </c>
      <c r="AG287" s="125" t="s">
        <v>710</v>
      </c>
      <c r="AL287" s="125" t="s">
        <v>708</v>
      </c>
      <c r="AM287" s="126">
        <v>45216</v>
      </c>
      <c r="AP287" s="125">
        <v>2</v>
      </c>
      <c r="AQ287" s="125">
        <v>9.8219999999999992</v>
      </c>
      <c r="BA287" s="125" t="s">
        <v>767</v>
      </c>
      <c r="BB287" s="125">
        <v>5287950</v>
      </c>
    </row>
    <row r="288" spans="1:54" x14ac:dyDescent="0.3">
      <c r="A288" s="125" t="s">
        <v>294</v>
      </c>
      <c r="B288" s="125" t="s">
        <v>329</v>
      </c>
      <c r="C288" s="125" t="s">
        <v>57</v>
      </c>
      <c r="D288" s="125">
        <v>2</v>
      </c>
      <c r="E288" s="125">
        <v>3280.0010000000002</v>
      </c>
      <c r="F288" s="125">
        <v>3145.0230000000001</v>
      </c>
      <c r="G288" s="125">
        <v>595</v>
      </c>
      <c r="H288" s="125">
        <v>3794.8</v>
      </c>
      <c r="J288" s="125">
        <v>13120</v>
      </c>
      <c r="K288" s="126"/>
      <c r="L288" s="125" t="s">
        <v>348</v>
      </c>
      <c r="M288" s="126">
        <v>45261</v>
      </c>
      <c r="W288" s="125">
        <v>1.4950000000000001</v>
      </c>
      <c r="AD288" s="125" t="s">
        <v>584</v>
      </c>
      <c r="AF288" s="125" t="s">
        <v>710</v>
      </c>
      <c r="AG288" s="125" t="s">
        <v>712</v>
      </c>
      <c r="AL288" s="125" t="s">
        <v>708</v>
      </c>
      <c r="AM288" s="126">
        <v>45264</v>
      </c>
      <c r="AP288" s="125">
        <v>2</v>
      </c>
      <c r="AQ288" s="125">
        <v>25.131</v>
      </c>
      <c r="BA288" s="125" t="s">
        <v>617</v>
      </c>
      <c r="BB288" s="125">
        <v>5333208</v>
      </c>
    </row>
    <row r="289" spans="1:54" x14ac:dyDescent="0.3">
      <c r="A289" s="125" t="s">
        <v>294</v>
      </c>
      <c r="B289" s="125" t="s">
        <v>223</v>
      </c>
      <c r="C289" s="125" t="s">
        <v>56</v>
      </c>
      <c r="D289" s="125">
        <v>1</v>
      </c>
      <c r="E289" s="125">
        <v>3120</v>
      </c>
      <c r="F289" s="125">
        <v>3351</v>
      </c>
      <c r="G289" s="125">
        <v>200.001</v>
      </c>
      <c r="H289" s="125">
        <v>2060.54</v>
      </c>
      <c r="J289" s="125">
        <v>8930</v>
      </c>
      <c r="K289" s="126"/>
      <c r="L289" s="125" t="s">
        <v>278</v>
      </c>
      <c r="M289" s="126">
        <v>45237</v>
      </c>
      <c r="W289" s="125">
        <v>0.82299999999999995</v>
      </c>
      <c r="AD289" s="125" t="s">
        <v>277</v>
      </c>
      <c r="AF289" s="125" t="s">
        <v>706</v>
      </c>
      <c r="AG289" s="125" t="s">
        <v>755</v>
      </c>
      <c r="AL289" s="125" t="s">
        <v>708</v>
      </c>
      <c r="AM289" s="126">
        <v>45238</v>
      </c>
      <c r="AP289" s="125">
        <v>2</v>
      </c>
      <c r="AQ289" s="125">
        <v>20.666</v>
      </c>
      <c r="BA289" s="125" t="s">
        <v>539</v>
      </c>
      <c r="BB289" s="125">
        <v>5312280</v>
      </c>
    </row>
    <row r="290" spans="1:54" x14ac:dyDescent="0.3">
      <c r="A290" s="125" t="s">
        <v>294</v>
      </c>
      <c r="B290" s="125" t="s">
        <v>314</v>
      </c>
      <c r="C290" s="125" t="s">
        <v>57</v>
      </c>
      <c r="D290" s="125">
        <v>1</v>
      </c>
      <c r="E290" s="125">
        <v>3280.0010000000002</v>
      </c>
      <c r="F290" s="125">
        <v>7775.0519999999997</v>
      </c>
      <c r="G290" s="125">
        <v>595.03</v>
      </c>
      <c r="H290" s="125">
        <v>9768.5499999999993</v>
      </c>
      <c r="J290" s="125">
        <v>10880</v>
      </c>
      <c r="K290" s="126"/>
      <c r="L290" s="125" t="s">
        <v>348</v>
      </c>
      <c r="M290" s="126">
        <v>45247</v>
      </c>
      <c r="W290" s="125">
        <v>3.81</v>
      </c>
      <c r="AD290" s="125" t="s">
        <v>584</v>
      </c>
      <c r="AF290" s="125" t="s">
        <v>712</v>
      </c>
      <c r="AG290" s="125" t="s">
        <v>711</v>
      </c>
      <c r="AL290" s="125" t="s">
        <v>708</v>
      </c>
      <c r="AM290" s="126">
        <v>45250</v>
      </c>
      <c r="AP290" s="125">
        <v>2</v>
      </c>
      <c r="AQ290" s="125">
        <v>96.585999999999999</v>
      </c>
      <c r="BA290" s="125" t="s">
        <v>557</v>
      </c>
      <c r="BB290" s="125">
        <v>5316443</v>
      </c>
    </row>
    <row r="291" spans="1:54" x14ac:dyDescent="0.3">
      <c r="A291" s="125" t="s">
        <v>294</v>
      </c>
      <c r="B291" s="125" t="s">
        <v>323</v>
      </c>
      <c r="C291" s="125" t="s">
        <v>57</v>
      </c>
      <c r="D291" s="125">
        <v>1</v>
      </c>
      <c r="E291" s="125">
        <v>3270.0219999999999</v>
      </c>
      <c r="F291" s="125">
        <v>6225.0119999999997</v>
      </c>
      <c r="G291" s="125">
        <v>595.00199999999995</v>
      </c>
      <c r="H291" s="125">
        <v>7226.73</v>
      </c>
      <c r="J291" s="125">
        <v>8690</v>
      </c>
      <c r="K291" s="126"/>
      <c r="L291" s="125" t="s">
        <v>348</v>
      </c>
      <c r="M291" s="126">
        <v>45236</v>
      </c>
      <c r="W291" s="125">
        <v>2.851</v>
      </c>
      <c r="AD291" s="125" t="s">
        <v>584</v>
      </c>
      <c r="AF291" s="125" t="s">
        <v>706</v>
      </c>
      <c r="AG291" s="125" t="s">
        <v>755</v>
      </c>
      <c r="AL291" s="125" t="s">
        <v>708</v>
      </c>
      <c r="AM291" s="126">
        <v>45237</v>
      </c>
      <c r="AP291" s="125">
        <v>2</v>
      </c>
      <c r="AQ291" s="125">
        <v>32.847999999999999</v>
      </c>
      <c r="BA291" s="125" t="s">
        <v>527</v>
      </c>
      <c r="BB291" s="125">
        <v>5312245</v>
      </c>
    </row>
    <row r="292" spans="1:54" x14ac:dyDescent="0.3">
      <c r="A292" s="125" t="s">
        <v>294</v>
      </c>
      <c r="B292" s="125" t="s">
        <v>176</v>
      </c>
      <c r="C292" s="125" t="s">
        <v>56</v>
      </c>
      <c r="D292" s="125">
        <v>1</v>
      </c>
      <c r="E292" s="125">
        <v>3420.0070000000001</v>
      </c>
      <c r="F292" s="125">
        <v>3430</v>
      </c>
      <c r="G292" s="125">
        <v>200.006</v>
      </c>
      <c r="H292" s="125">
        <v>5703.15</v>
      </c>
      <c r="J292" s="125">
        <v>14500</v>
      </c>
      <c r="K292" s="126"/>
      <c r="L292" s="125" t="s">
        <v>753</v>
      </c>
      <c r="M292" s="126">
        <v>45271</v>
      </c>
      <c r="W292" s="125">
        <v>2.33</v>
      </c>
      <c r="AD292" s="125" t="s">
        <v>277</v>
      </c>
      <c r="AF292" s="125" t="s">
        <v>710</v>
      </c>
      <c r="AG292" s="125" t="s">
        <v>710</v>
      </c>
      <c r="AL292" s="125" t="s">
        <v>708</v>
      </c>
      <c r="AM292" s="126">
        <v>45272</v>
      </c>
      <c r="AQ292" s="125">
        <v>15.66</v>
      </c>
      <c r="BA292" s="125" t="s">
        <v>639</v>
      </c>
      <c r="BB292" s="125">
        <v>5332483</v>
      </c>
    </row>
    <row r="293" spans="1:54" x14ac:dyDescent="0.3">
      <c r="A293" s="125" t="s">
        <v>294</v>
      </c>
      <c r="B293" s="125" t="s">
        <v>319</v>
      </c>
      <c r="C293" s="125" t="s">
        <v>57</v>
      </c>
      <c r="D293" s="125">
        <v>4</v>
      </c>
      <c r="E293" s="125">
        <v>3280.0210000000002</v>
      </c>
      <c r="F293" s="125">
        <v>5340.027</v>
      </c>
      <c r="G293" s="125">
        <v>595.01199999999994</v>
      </c>
      <c r="H293" s="125">
        <v>6757.62</v>
      </c>
      <c r="J293" s="125">
        <v>10910</v>
      </c>
      <c r="K293" s="126"/>
      <c r="L293" s="125" t="s">
        <v>349</v>
      </c>
      <c r="M293" s="126">
        <v>45247</v>
      </c>
      <c r="W293" s="125">
        <v>2.6760000000000002</v>
      </c>
      <c r="AD293" s="125" t="s">
        <v>584</v>
      </c>
      <c r="AF293" s="125" t="s">
        <v>712</v>
      </c>
      <c r="AG293" s="125" t="s">
        <v>711</v>
      </c>
      <c r="AL293" s="125" t="s">
        <v>708</v>
      </c>
      <c r="AM293" s="126">
        <v>45250</v>
      </c>
      <c r="AP293" s="125">
        <v>1</v>
      </c>
      <c r="AQ293" s="125">
        <v>17.542000000000002</v>
      </c>
      <c r="BA293" s="125" t="s">
        <v>596</v>
      </c>
      <c r="BB293" s="125">
        <v>5326750</v>
      </c>
    </row>
    <row r="294" spans="1:54" x14ac:dyDescent="0.3">
      <c r="A294" s="125" t="s">
        <v>294</v>
      </c>
      <c r="B294" s="125" t="s">
        <v>344</v>
      </c>
      <c r="C294" s="125" t="s">
        <v>57</v>
      </c>
      <c r="D294" s="125">
        <v>2</v>
      </c>
      <c r="E294" s="125">
        <v>3130.0210000000002</v>
      </c>
      <c r="F294" s="125">
        <v>7134.9970000000003</v>
      </c>
      <c r="G294" s="125">
        <v>595</v>
      </c>
      <c r="H294" s="125">
        <v>8693.52</v>
      </c>
      <c r="J294" s="125">
        <v>15410</v>
      </c>
      <c r="K294" s="126"/>
      <c r="L294" s="125" t="s">
        <v>348</v>
      </c>
      <c r="M294" s="126">
        <v>45275</v>
      </c>
      <c r="W294" s="125">
        <v>3.4329999999999998</v>
      </c>
      <c r="AD294" s="125" t="s">
        <v>584</v>
      </c>
      <c r="AF294" s="125" t="s">
        <v>710</v>
      </c>
      <c r="AG294" s="125" t="s">
        <v>707</v>
      </c>
      <c r="AL294" s="125" t="s">
        <v>280</v>
      </c>
      <c r="AM294" s="126">
        <v>45278</v>
      </c>
      <c r="AP294" s="125">
        <v>2</v>
      </c>
      <c r="AQ294" s="125">
        <v>56.485999999999997</v>
      </c>
      <c r="BA294" s="125" t="s">
        <v>648</v>
      </c>
      <c r="BB294" s="125">
        <v>5331488</v>
      </c>
    </row>
    <row r="295" spans="1:54" x14ac:dyDescent="0.3">
      <c r="A295" s="125" t="s">
        <v>294</v>
      </c>
      <c r="B295" s="125" t="s">
        <v>202</v>
      </c>
      <c r="C295" s="125" t="s">
        <v>56</v>
      </c>
      <c r="D295" s="125">
        <v>1</v>
      </c>
      <c r="E295" s="125">
        <v>3120</v>
      </c>
      <c r="F295" s="125">
        <v>2531</v>
      </c>
      <c r="G295" s="125">
        <v>200</v>
      </c>
      <c r="H295" s="125">
        <v>3836.05</v>
      </c>
      <c r="J295" s="125">
        <v>8940</v>
      </c>
      <c r="K295" s="126"/>
      <c r="L295" s="125" t="s">
        <v>278</v>
      </c>
      <c r="M295" s="126">
        <v>45237</v>
      </c>
      <c r="W295" s="125">
        <v>1.5680000000000001</v>
      </c>
      <c r="AD295" s="125" t="s">
        <v>277</v>
      </c>
      <c r="AF295" s="125" t="s">
        <v>706</v>
      </c>
      <c r="AG295" s="125" t="s">
        <v>755</v>
      </c>
      <c r="AL295" s="125" t="s">
        <v>708</v>
      </c>
      <c r="AM295" s="126">
        <v>45238</v>
      </c>
      <c r="AQ295" s="125">
        <v>13.715999999999999</v>
      </c>
      <c r="BA295" s="125" t="s">
        <v>522</v>
      </c>
      <c r="BB295" s="125">
        <v>5312230</v>
      </c>
    </row>
    <row r="296" spans="1:54" x14ac:dyDescent="0.3">
      <c r="A296" s="125" t="s">
        <v>294</v>
      </c>
      <c r="B296" s="125" t="s">
        <v>330</v>
      </c>
      <c r="C296" s="125" t="s">
        <v>57</v>
      </c>
      <c r="D296" s="125">
        <v>4</v>
      </c>
      <c r="E296" s="125">
        <v>3280.0219999999999</v>
      </c>
      <c r="F296" s="125">
        <v>6170.0129999999999</v>
      </c>
      <c r="G296" s="125">
        <v>595</v>
      </c>
      <c r="H296" s="125">
        <v>7075.69</v>
      </c>
      <c r="J296" s="125">
        <v>12070</v>
      </c>
      <c r="K296" s="126"/>
      <c r="L296" s="125" t="s">
        <v>348</v>
      </c>
      <c r="M296" s="126">
        <v>45254</v>
      </c>
      <c r="W296" s="125">
        <v>2.8</v>
      </c>
      <c r="AD296" s="125" t="s">
        <v>584</v>
      </c>
      <c r="AF296" s="125" t="s">
        <v>712</v>
      </c>
      <c r="AG296" s="125" t="s">
        <v>706</v>
      </c>
      <c r="AL296" s="125" t="s">
        <v>708</v>
      </c>
      <c r="AM296" s="126">
        <v>45257</v>
      </c>
      <c r="AP296" s="125">
        <v>2</v>
      </c>
      <c r="AQ296" s="125">
        <v>33.588999999999999</v>
      </c>
      <c r="BA296" s="125" t="s">
        <v>592</v>
      </c>
      <c r="BB296" s="125">
        <v>5326606</v>
      </c>
    </row>
    <row r="297" spans="1:54" x14ac:dyDescent="0.3">
      <c r="A297" s="125" t="s">
        <v>294</v>
      </c>
      <c r="B297" s="125" t="s">
        <v>145</v>
      </c>
      <c r="C297" s="125" t="s">
        <v>56</v>
      </c>
      <c r="D297" s="125">
        <v>3</v>
      </c>
      <c r="E297" s="125">
        <v>3130.0010000000002</v>
      </c>
      <c r="F297" s="125">
        <v>5481.0010000000002</v>
      </c>
      <c r="G297" s="125">
        <v>200.02500000000001</v>
      </c>
      <c r="H297" s="125">
        <v>7195.27</v>
      </c>
      <c r="J297" s="125">
        <v>11150</v>
      </c>
      <c r="K297" s="126"/>
      <c r="L297" s="125" t="s">
        <v>278</v>
      </c>
      <c r="M297" s="126">
        <v>45250</v>
      </c>
      <c r="W297" s="125">
        <v>2.931</v>
      </c>
      <c r="AD297" s="125" t="s">
        <v>277</v>
      </c>
      <c r="AF297" s="125" t="s">
        <v>712</v>
      </c>
      <c r="AG297" s="125" t="s">
        <v>711</v>
      </c>
      <c r="AL297" s="125" t="s">
        <v>708</v>
      </c>
      <c r="AM297" s="126">
        <v>45251</v>
      </c>
      <c r="AQ297" s="125">
        <v>33.822000000000003</v>
      </c>
      <c r="BA297" s="125" t="s">
        <v>429</v>
      </c>
      <c r="BB297" s="125">
        <v>5284576</v>
      </c>
    </row>
    <row r="298" spans="1:54" x14ac:dyDescent="0.3">
      <c r="A298" s="125" t="s">
        <v>294</v>
      </c>
      <c r="B298" s="125" t="s">
        <v>267</v>
      </c>
      <c r="C298" s="125" t="s">
        <v>56</v>
      </c>
      <c r="D298" s="125">
        <v>4</v>
      </c>
      <c r="E298" s="125">
        <v>3130.0070000000001</v>
      </c>
      <c r="F298" s="125">
        <v>7810</v>
      </c>
      <c r="G298" s="125">
        <v>200.00299999999999</v>
      </c>
      <c r="H298" s="125">
        <v>11113.58</v>
      </c>
      <c r="J298" s="125">
        <v>9860</v>
      </c>
      <c r="K298" s="126"/>
      <c r="L298" s="125" t="s">
        <v>753</v>
      </c>
      <c r="M298" s="126">
        <v>45243</v>
      </c>
      <c r="W298" s="125">
        <v>4.5380000000000003</v>
      </c>
      <c r="AD298" s="125" t="s">
        <v>277</v>
      </c>
      <c r="AF298" s="125" t="s">
        <v>706</v>
      </c>
      <c r="AG298" s="125" t="s">
        <v>713</v>
      </c>
      <c r="AL298" s="125" t="s">
        <v>708</v>
      </c>
      <c r="AM298" s="126">
        <v>45244</v>
      </c>
      <c r="AQ298" s="125">
        <v>46.154000000000003</v>
      </c>
      <c r="BA298" s="125" t="s">
        <v>444</v>
      </c>
      <c r="BB298" s="125">
        <v>5284629</v>
      </c>
    </row>
    <row r="299" spans="1:54" x14ac:dyDescent="0.3">
      <c r="A299" s="125" t="s">
        <v>294</v>
      </c>
      <c r="B299" s="125" t="s">
        <v>138</v>
      </c>
      <c r="C299" s="125" t="s">
        <v>56</v>
      </c>
      <c r="D299" s="125">
        <v>4</v>
      </c>
      <c r="E299" s="125">
        <v>3130.0070000000001</v>
      </c>
      <c r="F299" s="125">
        <v>4230</v>
      </c>
      <c r="G299" s="125">
        <v>200.03700000000001</v>
      </c>
      <c r="H299" s="125">
        <v>5199.1400000000003</v>
      </c>
      <c r="J299" s="125">
        <v>11040</v>
      </c>
      <c r="K299" s="126"/>
      <c r="L299" s="125" t="s">
        <v>753</v>
      </c>
      <c r="M299" s="126">
        <v>45250</v>
      </c>
      <c r="W299" s="125">
        <v>2.113</v>
      </c>
      <c r="AD299" s="125" t="s">
        <v>277</v>
      </c>
      <c r="AF299" s="125" t="s">
        <v>712</v>
      </c>
      <c r="AG299" s="125" t="s">
        <v>711</v>
      </c>
      <c r="AL299" s="125" t="s">
        <v>708</v>
      </c>
      <c r="AM299" s="126">
        <v>45251</v>
      </c>
      <c r="AQ299" s="125">
        <v>33.323</v>
      </c>
      <c r="BA299" s="125" t="s">
        <v>456</v>
      </c>
      <c r="BB299" s="125">
        <v>5284679</v>
      </c>
    </row>
    <row r="300" spans="1:54" x14ac:dyDescent="0.3">
      <c r="A300" s="125" t="s">
        <v>294</v>
      </c>
      <c r="B300" s="125" t="s">
        <v>309</v>
      </c>
      <c r="C300" s="125" t="s">
        <v>57</v>
      </c>
      <c r="D300" s="125">
        <v>2</v>
      </c>
      <c r="E300" s="125">
        <v>3280.0070000000001</v>
      </c>
      <c r="F300" s="125">
        <v>6050.04</v>
      </c>
      <c r="G300" s="125">
        <v>595</v>
      </c>
      <c r="H300" s="125">
        <v>7917.53</v>
      </c>
      <c r="J300" s="125">
        <v>13210</v>
      </c>
      <c r="K300" s="126"/>
      <c r="L300" s="125" t="s">
        <v>348</v>
      </c>
      <c r="M300" s="126">
        <v>45261</v>
      </c>
      <c r="W300" s="125">
        <v>3.117</v>
      </c>
      <c r="AD300" s="125" t="s">
        <v>584</v>
      </c>
      <c r="AF300" s="125" t="s">
        <v>710</v>
      </c>
      <c r="AG300" s="125" t="s">
        <v>712</v>
      </c>
      <c r="AL300" s="125" t="s">
        <v>708</v>
      </c>
      <c r="AM300" s="126">
        <v>45264</v>
      </c>
      <c r="AP300" s="125">
        <v>3</v>
      </c>
      <c r="AQ300" s="125">
        <v>52.445</v>
      </c>
      <c r="BA300" s="125" t="s">
        <v>615</v>
      </c>
      <c r="BB300" s="125">
        <v>5331471</v>
      </c>
    </row>
    <row r="301" spans="1:54" x14ac:dyDescent="0.3">
      <c r="A301" s="125" t="s">
        <v>294</v>
      </c>
      <c r="B301" s="125" t="s">
        <v>301</v>
      </c>
      <c r="C301" s="125" t="s">
        <v>57</v>
      </c>
      <c r="D301" s="125">
        <v>1</v>
      </c>
      <c r="E301" s="125">
        <v>3280.0010000000002</v>
      </c>
      <c r="F301" s="125">
        <v>7775.0519999999997</v>
      </c>
      <c r="G301" s="125">
        <v>595.03</v>
      </c>
      <c r="H301" s="125">
        <v>9768.5499999999993</v>
      </c>
      <c r="J301" s="125">
        <v>13130</v>
      </c>
      <c r="K301" s="126"/>
      <c r="L301" s="125" t="s">
        <v>348</v>
      </c>
      <c r="M301" s="126">
        <v>45261</v>
      </c>
      <c r="W301" s="125">
        <v>3.81</v>
      </c>
      <c r="AD301" s="125" t="s">
        <v>584</v>
      </c>
      <c r="AF301" s="125" t="s">
        <v>710</v>
      </c>
      <c r="AG301" s="125" t="s">
        <v>712</v>
      </c>
      <c r="AL301" s="125" t="s">
        <v>708</v>
      </c>
      <c r="AM301" s="126">
        <v>45264</v>
      </c>
      <c r="AP301" s="125">
        <v>2</v>
      </c>
      <c r="AQ301" s="125">
        <v>96.585999999999999</v>
      </c>
      <c r="BA301" s="125" t="s">
        <v>562</v>
      </c>
      <c r="BB301" s="125">
        <v>5316457</v>
      </c>
    </row>
    <row r="302" spans="1:54" x14ac:dyDescent="0.3">
      <c r="A302" s="125" t="s">
        <v>294</v>
      </c>
      <c r="B302" s="125" t="s">
        <v>383</v>
      </c>
      <c r="C302" s="125" t="s">
        <v>57</v>
      </c>
      <c r="D302" s="125">
        <v>2</v>
      </c>
      <c r="E302" s="125">
        <v>3130.0030000000002</v>
      </c>
      <c r="F302" s="125">
        <v>3145.0230000000001</v>
      </c>
      <c r="G302" s="125">
        <v>595</v>
      </c>
      <c r="H302" s="125">
        <v>4039.44</v>
      </c>
      <c r="J302" s="125">
        <v>15350</v>
      </c>
      <c r="K302" s="126"/>
      <c r="L302" s="125" t="s">
        <v>348</v>
      </c>
      <c r="M302" s="126">
        <v>45275</v>
      </c>
      <c r="W302" s="125">
        <v>1.5880000000000001</v>
      </c>
      <c r="AD302" s="125" t="s">
        <v>584</v>
      </c>
      <c r="AF302" s="125" t="s">
        <v>710</v>
      </c>
      <c r="AG302" s="125" t="s">
        <v>707</v>
      </c>
      <c r="AL302" s="125" t="s">
        <v>708</v>
      </c>
      <c r="AM302" s="126">
        <v>45278</v>
      </c>
      <c r="AP302" s="125">
        <v>2</v>
      </c>
      <c r="AQ302" s="125">
        <v>30.715</v>
      </c>
      <c r="BA302" s="125" t="s">
        <v>656</v>
      </c>
      <c r="BB302" s="125">
        <v>5331521</v>
      </c>
    </row>
    <row r="303" spans="1:54" x14ac:dyDescent="0.3">
      <c r="A303" s="125" t="s">
        <v>294</v>
      </c>
      <c r="B303" s="125" t="s">
        <v>312</v>
      </c>
      <c r="C303" s="125" t="s">
        <v>57</v>
      </c>
      <c r="D303" s="125">
        <v>2</v>
      </c>
      <c r="E303" s="125">
        <v>3280.0070000000001</v>
      </c>
      <c r="F303" s="125">
        <v>5165.0429999999997</v>
      </c>
      <c r="G303" s="125">
        <v>595.00800000000004</v>
      </c>
      <c r="H303" s="125">
        <v>6046.21</v>
      </c>
      <c r="J303" s="125">
        <v>13200</v>
      </c>
      <c r="K303" s="126"/>
      <c r="L303" s="125" t="s">
        <v>349</v>
      </c>
      <c r="M303" s="126">
        <v>45261</v>
      </c>
      <c r="W303" s="125">
        <v>2.383</v>
      </c>
      <c r="AD303" s="125" t="s">
        <v>584</v>
      </c>
      <c r="AF303" s="125" t="s">
        <v>710</v>
      </c>
      <c r="AG303" s="125" t="s">
        <v>712</v>
      </c>
      <c r="AL303" s="125" t="s">
        <v>708</v>
      </c>
      <c r="AM303" s="126">
        <v>45264</v>
      </c>
      <c r="AP303" s="125">
        <v>1</v>
      </c>
      <c r="AQ303" s="125">
        <v>37.564</v>
      </c>
      <c r="BA303" s="125" t="s">
        <v>595</v>
      </c>
      <c r="BB303" s="125">
        <v>5326623</v>
      </c>
    </row>
    <row r="304" spans="1:54" x14ac:dyDescent="0.3">
      <c r="A304" s="125" t="s">
        <v>294</v>
      </c>
      <c r="B304" s="125" t="s">
        <v>374</v>
      </c>
      <c r="C304" s="125" t="s">
        <v>56</v>
      </c>
      <c r="D304" s="125">
        <v>1</v>
      </c>
      <c r="E304" s="125">
        <v>1160</v>
      </c>
      <c r="F304" s="125">
        <v>7291.0690000000004</v>
      </c>
      <c r="G304" s="125">
        <v>140.001</v>
      </c>
      <c r="H304" s="125">
        <v>2912.21</v>
      </c>
      <c r="J304" s="125">
        <v>16130</v>
      </c>
      <c r="K304" s="126"/>
      <c r="L304" s="125" t="s">
        <v>278</v>
      </c>
      <c r="M304" s="126">
        <v>45285</v>
      </c>
      <c r="W304" s="125">
        <v>1.1779999999999999</v>
      </c>
      <c r="AD304" s="125" t="s">
        <v>359</v>
      </c>
      <c r="AF304" s="125" t="s">
        <v>710</v>
      </c>
      <c r="AG304" s="125" t="s">
        <v>709</v>
      </c>
      <c r="AL304" s="125" t="s">
        <v>708</v>
      </c>
      <c r="AM304" s="126">
        <v>45287</v>
      </c>
      <c r="AQ304" s="125">
        <v>24.071999999999999</v>
      </c>
      <c r="BA304" s="125" t="s">
        <v>679</v>
      </c>
      <c r="BB304" s="125">
        <v>5327867</v>
      </c>
    </row>
    <row r="305" spans="1:54" x14ac:dyDescent="0.3">
      <c r="A305" s="125" t="s">
        <v>294</v>
      </c>
      <c r="B305" s="125" t="s">
        <v>146</v>
      </c>
      <c r="C305" s="125" t="s">
        <v>56</v>
      </c>
      <c r="D305" s="125">
        <v>4</v>
      </c>
      <c r="E305" s="125">
        <v>2920.0070000000001</v>
      </c>
      <c r="F305" s="125">
        <v>2460</v>
      </c>
      <c r="G305" s="125">
        <v>200.00200000000001</v>
      </c>
      <c r="H305" s="125">
        <v>3385.18</v>
      </c>
      <c r="J305" s="125">
        <v>12150</v>
      </c>
      <c r="K305" s="126"/>
      <c r="L305" s="125" t="s">
        <v>753</v>
      </c>
      <c r="M305" s="126">
        <v>45257</v>
      </c>
      <c r="W305" s="125">
        <v>1.375</v>
      </c>
      <c r="AD305" s="125" t="s">
        <v>277</v>
      </c>
      <c r="AF305" s="125" t="s">
        <v>712</v>
      </c>
      <c r="AG305" s="125" t="s">
        <v>706</v>
      </c>
      <c r="AL305" s="125" t="s">
        <v>708</v>
      </c>
      <c r="AM305" s="126">
        <v>45258</v>
      </c>
      <c r="AQ305" s="125">
        <v>31.152999999999999</v>
      </c>
      <c r="BA305" s="125" t="s">
        <v>432</v>
      </c>
      <c r="BB305" s="125">
        <v>5284586</v>
      </c>
    </row>
    <row r="306" spans="1:54" x14ac:dyDescent="0.3">
      <c r="A306" s="125" t="s">
        <v>294</v>
      </c>
      <c r="B306" s="125" t="s">
        <v>226</v>
      </c>
      <c r="C306" s="125" t="s">
        <v>56</v>
      </c>
      <c r="D306" s="125">
        <v>1</v>
      </c>
      <c r="E306" s="125">
        <v>3130.0070000000001</v>
      </c>
      <c r="F306" s="125">
        <v>6170.0010000000002</v>
      </c>
      <c r="G306" s="125">
        <v>200.006</v>
      </c>
      <c r="H306" s="125">
        <v>8938.2000000000007</v>
      </c>
      <c r="J306" s="125">
        <v>15440</v>
      </c>
      <c r="K306" s="126"/>
      <c r="L306" s="125" t="s">
        <v>753</v>
      </c>
      <c r="M306" s="126">
        <v>45275</v>
      </c>
      <c r="W306" s="125">
        <v>3.6549999999999998</v>
      </c>
      <c r="AD306" s="125" t="s">
        <v>277</v>
      </c>
      <c r="AF306" s="125" t="s">
        <v>710</v>
      </c>
      <c r="AG306" s="125" t="s">
        <v>707</v>
      </c>
      <c r="AL306" s="125" t="s">
        <v>708</v>
      </c>
      <c r="AM306" s="126">
        <v>45278</v>
      </c>
      <c r="AQ306" s="125">
        <v>25.863</v>
      </c>
      <c r="BA306" s="125" t="s">
        <v>661</v>
      </c>
      <c r="BB306" s="125">
        <v>5332496</v>
      </c>
    </row>
    <row r="307" spans="1:54" x14ac:dyDescent="0.3">
      <c r="A307" s="125" t="s">
        <v>294</v>
      </c>
      <c r="B307" s="125" t="s">
        <v>247</v>
      </c>
      <c r="C307" s="125" t="s">
        <v>56</v>
      </c>
      <c r="D307" s="125">
        <v>1</v>
      </c>
      <c r="E307" s="125">
        <v>3130</v>
      </c>
      <c r="F307" s="125">
        <v>2531</v>
      </c>
      <c r="G307" s="125">
        <v>200.001</v>
      </c>
      <c r="H307" s="125">
        <v>3660.73</v>
      </c>
      <c r="J307" s="125">
        <v>15540</v>
      </c>
      <c r="K307" s="126"/>
      <c r="L307" s="125" t="s">
        <v>278</v>
      </c>
      <c r="M307" s="126">
        <v>45278</v>
      </c>
      <c r="W307" s="125">
        <v>1.496</v>
      </c>
      <c r="AD307" s="125" t="s">
        <v>277</v>
      </c>
      <c r="AF307" s="125" t="s">
        <v>710</v>
      </c>
      <c r="AG307" s="125" t="s">
        <v>707</v>
      </c>
      <c r="AL307" s="125" t="s">
        <v>708</v>
      </c>
      <c r="AM307" s="126">
        <v>45279</v>
      </c>
      <c r="AQ307" s="125">
        <v>10.656000000000001</v>
      </c>
      <c r="BA307" s="125" t="s">
        <v>504</v>
      </c>
      <c r="BB307" s="125">
        <v>5310469</v>
      </c>
    </row>
    <row r="308" spans="1:54" x14ac:dyDescent="0.3">
      <c r="A308" s="125" t="s">
        <v>294</v>
      </c>
      <c r="B308" s="125" t="s">
        <v>210</v>
      </c>
      <c r="C308" s="125" t="s">
        <v>56</v>
      </c>
      <c r="D308" s="125">
        <v>4</v>
      </c>
      <c r="E308" s="125">
        <v>3130.0070000000001</v>
      </c>
      <c r="F308" s="125">
        <v>6609.9989999999998</v>
      </c>
      <c r="G308" s="125">
        <v>200.03700000000001</v>
      </c>
      <c r="H308" s="125">
        <v>8937.85</v>
      </c>
      <c r="J308" s="125">
        <v>9900</v>
      </c>
      <c r="K308" s="126"/>
      <c r="L308" s="125" t="s">
        <v>753</v>
      </c>
      <c r="M308" s="126">
        <v>45244</v>
      </c>
      <c r="W308" s="125">
        <v>3.6520000000000001</v>
      </c>
      <c r="AD308" s="125" t="s">
        <v>277</v>
      </c>
      <c r="AF308" s="125" t="s">
        <v>706</v>
      </c>
      <c r="AG308" s="125" t="s">
        <v>713</v>
      </c>
      <c r="AL308" s="125" t="s">
        <v>708</v>
      </c>
      <c r="AM308" s="126">
        <v>45245</v>
      </c>
      <c r="AQ308" s="125">
        <v>30.646000000000001</v>
      </c>
      <c r="BA308" s="125" t="s">
        <v>409</v>
      </c>
      <c r="BB308" s="125">
        <v>5284486</v>
      </c>
    </row>
    <row r="309" spans="1:54" x14ac:dyDescent="0.3">
      <c r="A309" s="125" t="s">
        <v>294</v>
      </c>
      <c r="B309" s="125" t="s">
        <v>304</v>
      </c>
      <c r="C309" s="125" t="s">
        <v>57</v>
      </c>
      <c r="D309" s="125">
        <v>2</v>
      </c>
      <c r="E309" s="125">
        <v>3280.0050000000001</v>
      </c>
      <c r="F309" s="125">
        <v>3634.9639999999999</v>
      </c>
      <c r="G309" s="125">
        <v>595.00099999999998</v>
      </c>
      <c r="H309" s="125">
        <v>4835.43</v>
      </c>
      <c r="J309" s="125">
        <v>9740</v>
      </c>
      <c r="K309" s="126"/>
      <c r="L309" s="125" t="s">
        <v>349</v>
      </c>
      <c r="M309" s="126">
        <v>45243</v>
      </c>
      <c r="W309" s="125">
        <v>1.9079999999999999</v>
      </c>
      <c r="AD309" s="125" t="s">
        <v>584</v>
      </c>
      <c r="AF309" s="125" t="s">
        <v>706</v>
      </c>
      <c r="AG309" s="125" t="s">
        <v>713</v>
      </c>
      <c r="AL309" s="125" t="s">
        <v>708</v>
      </c>
      <c r="AM309" s="126">
        <v>45244</v>
      </c>
      <c r="AP309" s="125">
        <v>2</v>
      </c>
      <c r="AQ309" s="125">
        <v>26.108000000000001</v>
      </c>
      <c r="BA309" s="125" t="s">
        <v>605</v>
      </c>
      <c r="BB309" s="125">
        <v>5331506</v>
      </c>
    </row>
    <row r="310" spans="1:54" x14ac:dyDescent="0.3">
      <c r="A310" s="125" t="s">
        <v>294</v>
      </c>
      <c r="B310" s="125" t="s">
        <v>302</v>
      </c>
      <c r="C310" s="125" t="s">
        <v>57</v>
      </c>
      <c r="D310" s="125">
        <v>1</v>
      </c>
      <c r="E310" s="125">
        <v>3280.0079999999998</v>
      </c>
      <c r="F310" s="125">
        <v>3375.0129999999999</v>
      </c>
      <c r="G310" s="125">
        <v>595</v>
      </c>
      <c r="H310" s="125">
        <v>4086.86</v>
      </c>
      <c r="J310" s="125">
        <v>11990</v>
      </c>
      <c r="K310" s="126"/>
      <c r="L310" s="125" t="s">
        <v>348</v>
      </c>
      <c r="M310" s="126">
        <v>45254</v>
      </c>
      <c r="W310" s="125">
        <v>1.6140000000000001</v>
      </c>
      <c r="AD310" s="125" t="s">
        <v>584</v>
      </c>
      <c r="AF310" s="125" t="s">
        <v>712</v>
      </c>
      <c r="AG310" s="125" t="s">
        <v>706</v>
      </c>
      <c r="AL310" s="125" t="s">
        <v>708</v>
      </c>
      <c r="AM310" s="126">
        <v>45257</v>
      </c>
      <c r="AQ310" s="125">
        <v>26.812999999999999</v>
      </c>
      <c r="BA310" s="125" t="s">
        <v>614</v>
      </c>
      <c r="BB310" s="125">
        <v>5333328</v>
      </c>
    </row>
    <row r="311" spans="1:54" x14ac:dyDescent="0.3">
      <c r="A311" s="125" t="s">
        <v>294</v>
      </c>
      <c r="B311" s="125" t="s">
        <v>295</v>
      </c>
      <c r="C311" s="125" t="s">
        <v>57</v>
      </c>
      <c r="D311" s="125">
        <v>1</v>
      </c>
      <c r="E311" s="125">
        <v>3130.0010000000002</v>
      </c>
      <c r="F311" s="125">
        <v>8415</v>
      </c>
      <c r="G311" s="125">
        <v>545.08600000000001</v>
      </c>
      <c r="H311" s="125">
        <v>9943.7000000000007</v>
      </c>
      <c r="J311" s="125">
        <v>14270</v>
      </c>
      <c r="K311" s="126"/>
      <c r="L311" s="125" t="s">
        <v>348</v>
      </c>
      <c r="M311" s="126">
        <v>45268</v>
      </c>
      <c r="W311" s="125">
        <v>4.0449999999999999</v>
      </c>
      <c r="AD311" s="125" t="s">
        <v>584</v>
      </c>
      <c r="AF311" s="125" t="s">
        <v>710</v>
      </c>
      <c r="AG311" s="125" t="s">
        <v>710</v>
      </c>
      <c r="AL311" s="125" t="s">
        <v>280</v>
      </c>
      <c r="AM311" s="126">
        <v>45271</v>
      </c>
      <c r="BA311" s="125" t="s">
        <v>586</v>
      </c>
      <c r="BB311" s="125">
        <v>5326292</v>
      </c>
    </row>
    <row r="312" spans="1:54" x14ac:dyDescent="0.3">
      <c r="A312" s="125" t="s">
        <v>294</v>
      </c>
      <c r="B312" s="125" t="s">
        <v>303</v>
      </c>
      <c r="C312" s="125" t="s">
        <v>57</v>
      </c>
      <c r="D312" s="125">
        <v>1</v>
      </c>
      <c r="E312" s="125">
        <v>3130.0010000000002</v>
      </c>
      <c r="F312" s="125">
        <v>6170.018</v>
      </c>
      <c r="G312" s="125">
        <v>545.00699999999995</v>
      </c>
      <c r="H312" s="125">
        <v>6925.94</v>
      </c>
      <c r="J312" s="125">
        <v>14310</v>
      </c>
      <c r="K312" s="126"/>
      <c r="L312" s="125" t="s">
        <v>348</v>
      </c>
      <c r="M312" s="126">
        <v>45268</v>
      </c>
      <c r="W312" s="125">
        <v>2.82</v>
      </c>
      <c r="AD312" s="125" t="s">
        <v>584</v>
      </c>
      <c r="AF312" s="125" t="s">
        <v>710</v>
      </c>
      <c r="AG312" s="125" t="s">
        <v>710</v>
      </c>
      <c r="AL312" s="125" t="s">
        <v>708</v>
      </c>
      <c r="AM312" s="126">
        <v>45271</v>
      </c>
      <c r="BA312" s="125" t="s">
        <v>583</v>
      </c>
      <c r="BB312" s="125">
        <v>5316498</v>
      </c>
    </row>
    <row r="313" spans="1:54" x14ac:dyDescent="0.3">
      <c r="A313" s="125" t="s">
        <v>294</v>
      </c>
      <c r="B313" s="125" t="s">
        <v>305</v>
      </c>
      <c r="C313" s="125" t="s">
        <v>57</v>
      </c>
      <c r="D313" s="125">
        <v>1</v>
      </c>
      <c r="E313" s="125">
        <v>3130.0070000000001</v>
      </c>
      <c r="F313" s="125">
        <v>5165.0429999999997</v>
      </c>
      <c r="G313" s="125">
        <v>545.00599999999997</v>
      </c>
      <c r="H313" s="125">
        <v>5824.98</v>
      </c>
      <c r="J313" s="125">
        <v>14320</v>
      </c>
      <c r="K313" s="126"/>
      <c r="L313" s="125" t="s">
        <v>349</v>
      </c>
      <c r="M313" s="126">
        <v>45268</v>
      </c>
      <c r="W313" s="125">
        <v>2.3660000000000001</v>
      </c>
      <c r="AD313" s="125" t="s">
        <v>584</v>
      </c>
      <c r="AF313" s="125" t="s">
        <v>710</v>
      </c>
      <c r="AG313" s="125" t="s">
        <v>710</v>
      </c>
      <c r="AL313" s="125" t="s">
        <v>708</v>
      </c>
      <c r="AM313" s="126">
        <v>45271</v>
      </c>
      <c r="BA313" s="125" t="s">
        <v>569</v>
      </c>
      <c r="BB313" s="125">
        <v>5316467</v>
      </c>
    </row>
    <row r="314" spans="1:54" x14ac:dyDescent="0.3">
      <c r="A314" s="125" t="s">
        <v>294</v>
      </c>
      <c r="B314" s="125" t="s">
        <v>490</v>
      </c>
      <c r="C314" s="125" t="s">
        <v>57</v>
      </c>
      <c r="D314" s="125">
        <v>2</v>
      </c>
      <c r="E314" s="125">
        <v>3780.0070000000001</v>
      </c>
      <c r="F314" s="125">
        <v>8090.0020000000004</v>
      </c>
      <c r="G314" s="125">
        <v>545.00099999999998</v>
      </c>
      <c r="H314" s="125">
        <v>10205.709999999999</v>
      </c>
      <c r="J314" s="125">
        <v>6040</v>
      </c>
      <c r="K314" s="126"/>
      <c r="L314" s="125" t="s">
        <v>349</v>
      </c>
      <c r="M314" s="126">
        <v>45212</v>
      </c>
      <c r="W314" s="125">
        <v>4.1500000000000004</v>
      </c>
      <c r="AD314" s="125" t="s">
        <v>584</v>
      </c>
      <c r="AF314" s="125" t="s">
        <v>711</v>
      </c>
      <c r="AG314" s="125" t="s">
        <v>710</v>
      </c>
      <c r="AL314" s="125" t="s">
        <v>280</v>
      </c>
      <c r="AM314" s="126">
        <v>45215</v>
      </c>
      <c r="BA314" s="125" t="s">
        <v>489</v>
      </c>
      <c r="BB314" s="125">
        <v>5289524</v>
      </c>
    </row>
    <row r="315" spans="1:54" x14ac:dyDescent="0.3">
      <c r="A315" s="125" t="s">
        <v>294</v>
      </c>
      <c r="B315" s="125" t="s">
        <v>490</v>
      </c>
      <c r="C315" s="125" t="s">
        <v>57</v>
      </c>
      <c r="D315" s="125">
        <v>2</v>
      </c>
      <c r="E315" s="125">
        <v>3780.0070000000001</v>
      </c>
      <c r="F315" s="125">
        <v>8090.0020000000004</v>
      </c>
      <c r="G315" s="125">
        <v>545.00099999999998</v>
      </c>
      <c r="H315" s="125">
        <v>10205.709999999999</v>
      </c>
      <c r="J315" s="125">
        <v>14190</v>
      </c>
      <c r="K315" s="126"/>
      <c r="L315" s="125" t="s">
        <v>349</v>
      </c>
      <c r="M315" s="126">
        <v>45268</v>
      </c>
      <c r="W315" s="125">
        <v>4.1500000000000004</v>
      </c>
      <c r="AD315" s="125" t="s">
        <v>584</v>
      </c>
      <c r="AF315" s="125" t="s">
        <v>710</v>
      </c>
      <c r="AG315" s="125" t="s">
        <v>710</v>
      </c>
      <c r="AL315" s="125" t="s">
        <v>280</v>
      </c>
      <c r="AM315" s="126">
        <v>45271</v>
      </c>
      <c r="BA315" s="125" t="s">
        <v>575</v>
      </c>
      <c r="BB315" s="125">
        <v>5316476</v>
      </c>
    </row>
    <row r="316" spans="1:54" x14ac:dyDescent="0.3">
      <c r="A316" s="125" t="s">
        <v>294</v>
      </c>
      <c r="B316" s="125" t="s">
        <v>313</v>
      </c>
      <c r="C316" s="125" t="s">
        <v>57</v>
      </c>
      <c r="D316" s="125">
        <v>1</v>
      </c>
      <c r="E316" s="125">
        <v>3130.0070000000001</v>
      </c>
      <c r="F316" s="125">
        <v>6050.04</v>
      </c>
      <c r="G316" s="125">
        <v>545.00099999999998</v>
      </c>
      <c r="H316" s="125">
        <v>7714.07</v>
      </c>
      <c r="J316" s="125">
        <v>14330</v>
      </c>
      <c r="K316" s="126"/>
      <c r="L316" s="125" t="s">
        <v>348</v>
      </c>
      <c r="M316" s="126">
        <v>45268</v>
      </c>
      <c r="W316" s="125">
        <v>3.1339999999999999</v>
      </c>
      <c r="AD316" s="125" t="s">
        <v>584</v>
      </c>
      <c r="AF316" s="125" t="s">
        <v>710</v>
      </c>
      <c r="AG316" s="125" t="s">
        <v>710</v>
      </c>
      <c r="AL316" s="125" t="s">
        <v>708</v>
      </c>
      <c r="AM316" s="126">
        <v>45271</v>
      </c>
      <c r="BA316" s="125" t="s">
        <v>620</v>
      </c>
      <c r="BB316" s="125">
        <v>5331495</v>
      </c>
    </row>
    <row r="317" spans="1:54" x14ac:dyDescent="0.3">
      <c r="A317" s="125" t="s">
        <v>294</v>
      </c>
      <c r="B317" s="125" t="s">
        <v>318</v>
      </c>
      <c r="C317" s="125" t="s">
        <v>57</v>
      </c>
      <c r="D317" s="125">
        <v>1</v>
      </c>
      <c r="E317" s="125">
        <v>3130.0210000000002</v>
      </c>
      <c r="F317" s="125">
        <v>5340.027</v>
      </c>
      <c r="G317" s="125">
        <v>545.00699999999995</v>
      </c>
      <c r="H317" s="125">
        <v>6650.31</v>
      </c>
      <c r="J317" s="125">
        <v>14280</v>
      </c>
      <c r="K317" s="126"/>
      <c r="L317" s="125" t="s">
        <v>349</v>
      </c>
      <c r="M317" s="126">
        <v>45268</v>
      </c>
      <c r="W317" s="125">
        <v>2.7</v>
      </c>
      <c r="AD317" s="125" t="s">
        <v>584</v>
      </c>
      <c r="AF317" s="125" t="s">
        <v>710</v>
      </c>
      <c r="AG317" s="125" t="s">
        <v>710</v>
      </c>
      <c r="AL317" s="125" t="s">
        <v>708</v>
      </c>
      <c r="AM317" s="126">
        <v>45271</v>
      </c>
      <c r="BA317" s="125" t="s">
        <v>577</v>
      </c>
      <c r="BB317" s="125">
        <v>5316478</v>
      </c>
    </row>
  </sheetData>
  <phoneticPr fontId="56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92D050"/>
    <pageSetUpPr fitToPage="1"/>
  </sheetPr>
  <dimension ref="A2:BD724"/>
  <sheetViews>
    <sheetView zoomScaleNormal="100" workbookViewId="0">
      <pane xSplit="1" ySplit="17" topLeftCell="B18" activePane="bottomRight" state="frozen"/>
      <selection activeCell="BE21" sqref="BE21"/>
      <selection pane="topRight" activeCell="BE21" sqref="BE21"/>
      <selection pane="bottomLeft" activeCell="BE21" sqref="BE21"/>
      <selection pane="bottomRight" activeCell="F20" sqref="F20"/>
    </sheetView>
  </sheetViews>
  <sheetFormatPr defaultColWidth="9.109375" defaultRowHeight="13.8" x14ac:dyDescent="0.3"/>
  <cols>
    <col min="1" max="1" width="12" style="29" customWidth="1"/>
    <col min="2" max="2" width="12.6640625" style="29" customWidth="1"/>
    <col min="3" max="3" width="12.6640625" style="28" hidden="1" customWidth="1"/>
    <col min="4" max="4" width="12.6640625" style="29" customWidth="1"/>
    <col min="5" max="5" width="8.6640625" style="28" hidden="1" customWidth="1"/>
    <col min="6" max="6" width="24.6640625" style="30" customWidth="1"/>
    <col min="7" max="7" width="16.88671875" style="29" customWidth="1"/>
    <col min="8" max="8" width="6.6640625" style="29" customWidth="1"/>
    <col min="9" max="9" width="5.6640625" style="29" bestFit="1" customWidth="1"/>
    <col min="10" max="10" width="36.6640625" style="29" customWidth="1"/>
    <col min="11" max="11" width="7.6640625" style="29" hidden="1" customWidth="1"/>
    <col min="12" max="12" width="7.6640625" style="31" customWidth="1"/>
    <col min="13" max="13" width="7.6640625" style="32" hidden="1" customWidth="1"/>
    <col min="14" max="14" width="7.6640625" style="33" hidden="1" customWidth="1"/>
    <col min="15" max="15" width="7.6640625" style="29" hidden="1" customWidth="1"/>
    <col min="16" max="16" width="7.6640625" style="31" hidden="1" customWidth="1"/>
    <col min="17" max="17" width="9.6640625" style="103" customWidth="1"/>
    <col min="18" max="18" width="8.6640625" style="29" customWidth="1"/>
    <col min="19" max="19" width="25.6640625" style="34" customWidth="1"/>
    <col min="20" max="21" width="7.6640625" style="34" hidden="1" customWidth="1"/>
    <col min="22" max="22" width="7.6640625" style="29" customWidth="1"/>
    <col min="23" max="23" width="7.6640625" style="29" hidden="1" customWidth="1"/>
    <col min="24" max="26" width="8.6640625" style="29" hidden="1" customWidth="1"/>
    <col min="27" max="27" width="9.109375" style="29" hidden="1" customWidth="1"/>
    <col min="28" max="29" width="7.6640625" style="29" hidden="1" customWidth="1"/>
    <col min="30" max="30" width="8.33203125" style="29" hidden="1" customWidth="1"/>
    <col min="31" max="31" width="9.109375" style="29" hidden="1" customWidth="1"/>
    <col min="32" max="32" width="7.6640625" style="29" hidden="1" customWidth="1"/>
    <col min="33" max="36" width="9.5546875" style="29" hidden="1" customWidth="1"/>
    <col min="37" max="37" width="11.44140625" style="29" customWidth="1"/>
    <col min="38" max="38" width="11.44140625" style="29" hidden="1" customWidth="1"/>
    <col min="39" max="41" width="8.6640625" style="29" hidden="1" customWidth="1"/>
    <col min="42" max="43" width="8.6640625" style="27" hidden="1" customWidth="1"/>
    <col min="44" max="51" width="8.6640625" style="29" hidden="1" customWidth="1"/>
    <col min="52" max="52" width="9.5546875" style="29" hidden="1" customWidth="1"/>
    <col min="53" max="53" width="40.6640625" style="29" hidden="1" customWidth="1"/>
    <col min="54" max="55" width="8.6640625" style="29" hidden="1" customWidth="1"/>
    <col min="56" max="16384" width="9.109375" style="29"/>
  </cols>
  <sheetData>
    <row r="2" spans="1:55" ht="14.4" thickBot="1" x14ac:dyDescent="0.35">
      <c r="A2" s="26">
        <f ca="1">TODAY()+7</f>
        <v>45188</v>
      </c>
      <c r="B2" s="27">
        <v>37</v>
      </c>
      <c r="C2" s="28">
        <f ca="1">$A$2+(8-WEEKDAY($A$2,2))</f>
        <v>45194</v>
      </c>
    </row>
    <row r="3" spans="1:55" ht="18.600000000000001" thickBot="1" x14ac:dyDescent="0.35">
      <c r="A3" s="35"/>
      <c r="B3" s="114" t="s">
        <v>178</v>
      </c>
      <c r="C3" s="36"/>
      <c r="D3" s="35" t="str">
        <f>"" &amp; B2 &amp; " savaitės planas derinimui"</f>
        <v>37 savaitės planas derinimui</v>
      </c>
      <c r="E3" s="37"/>
      <c r="F3" s="38"/>
      <c r="G3" s="39"/>
      <c r="H3" s="39"/>
      <c r="I3" s="39"/>
      <c r="J3" s="110" t="s">
        <v>862</v>
      </c>
      <c r="K3" s="40"/>
      <c r="L3" s="41"/>
      <c r="M3" s="42"/>
      <c r="N3" s="43"/>
      <c r="O3" s="39"/>
      <c r="P3" s="41"/>
      <c r="Q3" s="138"/>
      <c r="R3" s="39"/>
      <c r="S3" s="44"/>
      <c r="T3" s="44"/>
      <c r="U3" s="44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45"/>
      <c r="AH3" s="46"/>
      <c r="AI3" s="46"/>
      <c r="AJ3" s="46"/>
      <c r="AK3" s="39"/>
      <c r="AL3" s="46"/>
      <c r="AM3" s="46"/>
      <c r="AN3" s="46"/>
      <c r="AO3" s="46"/>
      <c r="AP3" s="109"/>
      <c r="AQ3" s="109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</row>
    <row r="4" spans="1:55" ht="14.4" hidden="1" thickBot="1" x14ac:dyDescent="0.35"/>
    <row r="5" spans="1:55" ht="42" thickBot="1" x14ac:dyDescent="0.35">
      <c r="A5" s="47" t="s">
        <v>3</v>
      </c>
      <c r="B5" s="48" t="s">
        <v>4</v>
      </c>
      <c r="C5" s="49" t="s">
        <v>5</v>
      </c>
      <c r="D5" s="50" t="s">
        <v>6</v>
      </c>
      <c r="E5" s="49" t="s">
        <v>7</v>
      </c>
      <c r="F5" s="50" t="s">
        <v>8</v>
      </c>
      <c r="G5" s="50" t="s">
        <v>9</v>
      </c>
      <c r="H5" s="50" t="s">
        <v>37</v>
      </c>
      <c r="I5" s="50" t="s">
        <v>10</v>
      </c>
      <c r="J5" s="50" t="s">
        <v>11</v>
      </c>
      <c r="K5" s="51" t="s">
        <v>114</v>
      </c>
      <c r="L5" s="52" t="s">
        <v>17</v>
      </c>
      <c r="M5" s="53" t="s">
        <v>66</v>
      </c>
      <c r="N5" s="54" t="s">
        <v>103</v>
      </c>
      <c r="O5" s="55" t="s">
        <v>104</v>
      </c>
      <c r="P5" s="56" t="s">
        <v>175</v>
      </c>
      <c r="Q5" s="139" t="s">
        <v>18</v>
      </c>
      <c r="R5" s="50" t="s">
        <v>102</v>
      </c>
      <c r="S5" s="57" t="s">
        <v>174</v>
      </c>
      <c r="T5" s="58" t="s">
        <v>70</v>
      </c>
      <c r="U5" s="58" t="s">
        <v>79</v>
      </c>
      <c r="V5" s="122" t="s">
        <v>252</v>
      </c>
      <c r="W5" s="55" t="s">
        <v>80</v>
      </c>
      <c r="X5" s="55" t="s">
        <v>81</v>
      </c>
      <c r="Y5" s="50" t="s">
        <v>20</v>
      </c>
      <c r="Z5" s="59" t="s">
        <v>21</v>
      </c>
      <c r="AA5" s="50" t="s">
        <v>19</v>
      </c>
      <c r="AB5" s="55" t="s">
        <v>85</v>
      </c>
      <c r="AC5" s="55" t="s">
        <v>86</v>
      </c>
      <c r="AD5" s="51" t="s">
        <v>76</v>
      </c>
      <c r="AE5" s="51" t="s">
        <v>77</v>
      </c>
      <c r="AF5" s="55" t="s">
        <v>88</v>
      </c>
      <c r="AG5" s="60" t="s">
        <v>78</v>
      </c>
      <c r="AH5" s="61" t="s">
        <v>89</v>
      </c>
      <c r="AI5" s="62" t="s">
        <v>90</v>
      </c>
      <c r="AJ5" s="51" t="s">
        <v>177</v>
      </c>
      <c r="AK5" s="50" t="s">
        <v>188</v>
      </c>
      <c r="AL5" s="62" t="s">
        <v>93</v>
      </c>
      <c r="AM5" s="62" t="s">
        <v>94</v>
      </c>
      <c r="AN5" s="62" t="s">
        <v>95</v>
      </c>
      <c r="AO5" s="62" t="s">
        <v>96</v>
      </c>
      <c r="AP5" s="111" t="s">
        <v>234</v>
      </c>
      <c r="AQ5" s="111" t="s">
        <v>235</v>
      </c>
      <c r="AR5" s="62" t="s">
        <v>105</v>
      </c>
      <c r="AS5" s="62" t="s">
        <v>99</v>
      </c>
      <c r="AT5" s="62" t="s">
        <v>106</v>
      </c>
      <c r="AU5" s="62" t="s">
        <v>100</v>
      </c>
      <c r="AV5" s="62" t="s">
        <v>107</v>
      </c>
      <c r="AW5" s="62" t="s">
        <v>83</v>
      </c>
      <c r="AX5" s="62" t="s">
        <v>108</v>
      </c>
      <c r="AY5" s="55" t="s">
        <v>180</v>
      </c>
      <c r="AZ5" s="63" t="s">
        <v>109</v>
      </c>
      <c r="BA5" s="64" t="s">
        <v>34</v>
      </c>
      <c r="BB5" s="62" t="s">
        <v>181</v>
      </c>
      <c r="BC5" s="50" t="s">
        <v>49</v>
      </c>
    </row>
    <row r="6" spans="1:55" hidden="1" x14ac:dyDescent="0.3"/>
    <row r="7" spans="1:55" hidden="1" x14ac:dyDescent="0.3"/>
    <row r="8" spans="1:55" hidden="1" x14ac:dyDescent="0.3"/>
    <row r="9" spans="1:55" x14ac:dyDescent="0.3">
      <c r="A9" s="29">
        <v>1</v>
      </c>
      <c r="B9" s="65">
        <f ca="1">$C$2</f>
        <v>45194</v>
      </c>
      <c r="D9" s="28">
        <f ca="1">WORKDAY(B9,2,table_nedarbo_dienos[data])</f>
        <v>45196</v>
      </c>
      <c r="F9" s="66"/>
      <c r="H9" s="67">
        <f t="array" ref="H9">SUM(IF(FREQUENCY(IF(LEN(H$18:H$117)&gt;0,MATCH(H$18:H$117,H$18:H$117,0),""), IF(LEN(H$18:H$117)&gt;0,MATCH(H$18:H$117,H$18:H$117,0),""))&gt;0,1))</f>
        <v>5</v>
      </c>
      <c r="I9" s="67">
        <f>COUNTA(G$18:G$117)</f>
        <v>10</v>
      </c>
      <c r="J9" s="67"/>
      <c r="K9" s="67"/>
      <c r="L9" s="67">
        <f>SUM(L$18:L$117)</f>
        <v>114.09999999999998</v>
      </c>
      <c r="M9" s="68">
        <f>SUM(M$18:M$117)/1000</f>
        <v>39.033028999999999</v>
      </c>
      <c r="N9" s="68">
        <f>SUM(N$18:N$117)</f>
        <v>19.295000000000002</v>
      </c>
      <c r="P9" s="67"/>
      <c r="Q9" s="140">
        <f>IF(I9&gt;0,AVERAGE(Q$18:Q$117),"")</f>
        <v>0.46683906093906097</v>
      </c>
      <c r="R9" s="67">
        <f>SUM(Y9:AE9)</f>
        <v>0</v>
      </c>
      <c r="S9" s="69"/>
      <c r="T9" s="69"/>
      <c r="U9" s="69"/>
      <c r="X9" s="67"/>
      <c r="Y9" s="67">
        <f>SUM(Y$18:Y$117)</f>
        <v>0</v>
      </c>
      <c r="Z9" s="67">
        <f>SUM(Z$18:Z$117)</f>
        <v>0</v>
      </c>
      <c r="AA9" s="67">
        <f>SUM(AA$18:AA$117)</f>
        <v>0</v>
      </c>
      <c r="AB9" s="67"/>
      <c r="AC9" s="67"/>
      <c r="AD9" s="67">
        <f>SUM(AD$18:AD$117)</f>
        <v>0</v>
      </c>
      <c r="AE9" s="67">
        <f>SUM(AE$18:AE$117)</f>
        <v>0</v>
      </c>
      <c r="AF9" s="67"/>
    </row>
    <row r="10" spans="1:55" x14ac:dyDescent="0.3">
      <c r="A10" s="29">
        <v>2</v>
      </c>
      <c r="B10" s="65">
        <f t="shared" ref="B10:B15" ca="1" si="0">B9+1</f>
        <v>45195</v>
      </c>
      <c r="D10" s="28">
        <f ca="1">WORKDAY(B10,2,table_nedarbo_dienos[data])</f>
        <v>45197</v>
      </c>
      <c r="H10" s="67">
        <f t="array" ref="H10">SUM(IF(FREQUENCY(IF(LEN(H$119:H$218)&gt;0,MATCH(H$119:H$218,H$119:H$218,0),""), IF(LEN(H$119:H$218)&gt;0,MATCH(H$119:H$218,H$119:H$218,0),""))&gt;0,1))</f>
        <v>0</v>
      </c>
      <c r="I10" s="67">
        <f>COUNTA(G$119:G$218)</f>
        <v>0</v>
      </c>
      <c r="J10" s="67"/>
      <c r="K10" s="67"/>
      <c r="L10" s="67">
        <f>SUM(L$119:L$218)</f>
        <v>0</v>
      </c>
      <c r="M10" s="68">
        <f>SUM(M$119:M$218)/1000</f>
        <v>0</v>
      </c>
      <c r="N10" s="68">
        <f>SUM(N$119:N$218)</f>
        <v>0</v>
      </c>
      <c r="P10" s="67"/>
      <c r="Q10" s="140" t="str">
        <f>IF(I10&gt;0,AVERAGE(Q$119:Q$218),"")</f>
        <v/>
      </c>
      <c r="R10" s="67">
        <f t="shared" ref="R10:R15" si="1">SUM(Y10:AE10)</f>
        <v>0</v>
      </c>
      <c r="S10" s="69"/>
      <c r="T10" s="69"/>
      <c r="U10" s="69"/>
      <c r="X10" s="67"/>
      <c r="Y10" s="67">
        <f>SUM(Y$119:Y$218)</f>
        <v>0</v>
      </c>
      <c r="Z10" s="67">
        <f>SUM(Z$119:Z$218)</f>
        <v>0</v>
      </c>
      <c r="AA10" s="67">
        <f>SUM(AA$119:AA$218)</f>
        <v>0</v>
      </c>
      <c r="AB10" s="67"/>
      <c r="AC10" s="67"/>
      <c r="AD10" s="67">
        <f>SUM(AD$119:AD$218)</f>
        <v>0</v>
      </c>
      <c r="AE10" s="67">
        <f>SUM(AE$119:AE$218)</f>
        <v>0</v>
      </c>
      <c r="AF10" s="67"/>
    </row>
    <row r="11" spans="1:55" x14ac:dyDescent="0.3">
      <c r="A11" s="29">
        <v>3</v>
      </c>
      <c r="B11" s="65">
        <f t="shared" ca="1" si="0"/>
        <v>45196</v>
      </c>
      <c r="D11" s="28">
        <f ca="1">WORKDAY(B11,2,table_nedarbo_dienos[data])</f>
        <v>45198</v>
      </c>
      <c r="H11" s="67">
        <f t="array" ref="H11">SUM(IF(FREQUENCY(IF(LEN(H$220:H$319)&gt;0,MATCH(H$220:H$319,H$220:H$319,0),""), IF(LEN(H$220:H$319)&gt;0,MATCH(H$220:H$319,H$220:H$319,0),""))&gt;0,1))</f>
        <v>0</v>
      </c>
      <c r="I11" s="67">
        <f>COUNTA(G$220:G$319)</f>
        <v>0</v>
      </c>
      <c r="J11" s="67"/>
      <c r="K11" s="67"/>
      <c r="L11" s="67">
        <f>SUM(L$220:L$319)</f>
        <v>0</v>
      </c>
      <c r="M11" s="68">
        <f>SUM(M$220:M$319)/1000</f>
        <v>0</v>
      </c>
      <c r="N11" s="68">
        <f>SUM(N$220:N$319)</f>
        <v>0</v>
      </c>
      <c r="P11" s="67"/>
      <c r="Q11" s="140" t="str">
        <f>IF(I11&gt;0,AVERAGE(Q$220:Q$319),"")</f>
        <v/>
      </c>
      <c r="R11" s="67">
        <f t="shared" si="1"/>
        <v>0</v>
      </c>
      <c r="S11" s="69"/>
      <c r="T11" s="69"/>
      <c r="U11" s="69"/>
      <c r="X11" s="67"/>
      <c r="Y11" s="67">
        <f>SUM(Y$220:Y$319)</f>
        <v>0</v>
      </c>
      <c r="Z11" s="67">
        <f>SUM(Z$220:Z$319)</f>
        <v>0</v>
      </c>
      <c r="AA11" s="67">
        <f>SUM(AA$220:AA$319)</f>
        <v>0</v>
      </c>
      <c r="AB11" s="67"/>
      <c r="AC11" s="67"/>
      <c r="AD11" s="67">
        <f>SUM(AD$220:AD$319)</f>
        <v>0</v>
      </c>
      <c r="AE11" s="67">
        <f>SUM(AE$220:AE$319)</f>
        <v>0</v>
      </c>
      <c r="AF11" s="67"/>
    </row>
    <row r="12" spans="1:55" x14ac:dyDescent="0.3">
      <c r="A12" s="29">
        <v>4</v>
      </c>
      <c r="B12" s="65">
        <f t="shared" ca="1" si="0"/>
        <v>45197</v>
      </c>
      <c r="D12" s="28">
        <f ca="1">WORKDAY(B12,2,table_nedarbo_dienos[data])</f>
        <v>45201</v>
      </c>
      <c r="H12" s="67">
        <f t="array" ref="H12">SUM(IF(FREQUENCY(IF(LEN(H$321:H$420)&gt;0,MATCH(H$321:H$420,H$321:H$420,0),""), IF(LEN(H$321:H$420)&gt;0,MATCH(H$321:H$420,H$321:H$420,0),""))&gt;0,1))</f>
        <v>0</v>
      </c>
      <c r="I12" s="67">
        <f>COUNTA(G$321:G$420)</f>
        <v>0</v>
      </c>
      <c r="J12" s="67"/>
      <c r="K12" s="67"/>
      <c r="L12" s="67">
        <f>SUM(L$321:L$420)</f>
        <v>0</v>
      </c>
      <c r="M12" s="68">
        <f>SUM(M$321:M$420)/1000</f>
        <v>0</v>
      </c>
      <c r="N12" s="68">
        <f>SUM(N$321:N$420)</f>
        <v>0</v>
      </c>
      <c r="P12" s="67"/>
      <c r="Q12" s="140" t="str">
        <f>IF(I12&gt;0,AVERAGE(Q$321:Q$420),"")</f>
        <v/>
      </c>
      <c r="R12" s="67">
        <f t="shared" si="1"/>
        <v>0</v>
      </c>
      <c r="S12" s="69"/>
      <c r="T12" s="69"/>
      <c r="U12" s="69"/>
      <c r="X12" s="67"/>
      <c r="Y12" s="67">
        <f>SUM(Y$321:Y$420)</f>
        <v>0</v>
      </c>
      <c r="Z12" s="67">
        <f>SUM(Z$321:Z$420)</f>
        <v>0</v>
      </c>
      <c r="AA12" s="67">
        <f>SUM(AA$321:AA$420)</f>
        <v>0</v>
      </c>
      <c r="AB12" s="67"/>
      <c r="AC12" s="67"/>
      <c r="AD12" s="67">
        <f>SUM(AD$321:AD$420)</f>
        <v>0</v>
      </c>
      <c r="AE12" s="67">
        <f>SUM(AE$321:AE$420)</f>
        <v>0</v>
      </c>
      <c r="AF12" s="67"/>
    </row>
    <row r="13" spans="1:55" x14ac:dyDescent="0.3">
      <c r="A13" s="29">
        <v>5</v>
      </c>
      <c r="B13" s="65">
        <f t="shared" ca="1" si="0"/>
        <v>45198</v>
      </c>
      <c r="D13" s="28">
        <f ca="1">WORKDAY(B13,2,table_nedarbo_dienos[data])</f>
        <v>45202</v>
      </c>
      <c r="H13" s="67">
        <f t="array" ref="H13">SUM(IF(FREQUENCY(IF(LEN(H$422:H$521)&gt;0,MATCH(H$422:H$521,H$422:H$521,0),""), IF(LEN(H$422:H$521)&gt;0,MATCH(H$422:H$521,H$422:H$521,0),""))&gt;0,1))</f>
        <v>0</v>
      </c>
      <c r="I13" s="67">
        <f>COUNTA(G$422:G$521)</f>
        <v>0</v>
      </c>
      <c r="J13" s="67"/>
      <c r="K13" s="67"/>
      <c r="L13" s="67">
        <f>SUM(L$422:L$521)</f>
        <v>0</v>
      </c>
      <c r="M13" s="68">
        <f>SUM(M$422:M$521)/1000</f>
        <v>0</v>
      </c>
      <c r="N13" s="68">
        <f>SUM(N$422:N$521)</f>
        <v>0</v>
      </c>
      <c r="P13" s="67"/>
      <c r="Q13" s="140" t="str">
        <f>IF(I13&gt;0,AVERAGE(Q$422:Q$521),"")</f>
        <v/>
      </c>
      <c r="R13" s="67">
        <f t="shared" si="1"/>
        <v>0</v>
      </c>
      <c r="S13" s="69"/>
      <c r="T13" s="69"/>
      <c r="U13" s="69"/>
      <c r="X13" s="67"/>
      <c r="Y13" s="67">
        <f>SUM(Y$422:Y$521)</f>
        <v>0</v>
      </c>
      <c r="Z13" s="67">
        <f>SUM(Z$422:Z$521)</f>
        <v>0</v>
      </c>
      <c r="AA13" s="67">
        <f>SUM(AA$422:AA$521)</f>
        <v>0</v>
      </c>
      <c r="AB13" s="67"/>
      <c r="AC13" s="67"/>
      <c r="AD13" s="67">
        <f>SUM(AD$422:AD$521)</f>
        <v>0</v>
      </c>
      <c r="AE13" s="67">
        <f>SUM(AE$422:AE$521)</f>
        <v>0</v>
      </c>
      <c r="AF13" s="67"/>
    </row>
    <row r="14" spans="1:55" x14ac:dyDescent="0.3">
      <c r="A14" s="29">
        <v>6</v>
      </c>
      <c r="B14" s="65">
        <f t="shared" ca="1" si="0"/>
        <v>45199</v>
      </c>
      <c r="D14" s="28">
        <f ca="1">WORKDAY(B14,2,table_nedarbo_dienos[data])</f>
        <v>45202</v>
      </c>
      <c r="H14" s="67">
        <f t="array" ref="H14">SUM(IF(FREQUENCY(IF(LEN(H$523:H$622)&gt;0,MATCH(H$523:H$622,H$523:H$622,0),""), IF(LEN(H$523:H$622)&gt;0,MATCH(H$523:H$622,H$523:H$622,0),""))&gt;0,1))</f>
        <v>0</v>
      </c>
      <c r="I14" s="67">
        <f>COUNTA(G$523:G$622)</f>
        <v>0</v>
      </c>
      <c r="J14" s="67"/>
      <c r="K14" s="67"/>
      <c r="L14" s="67">
        <f>SUM(L$523:L$622)</f>
        <v>0</v>
      </c>
      <c r="M14" s="68">
        <f>SUM(M$523:M$622)/1000</f>
        <v>0</v>
      </c>
      <c r="N14" s="68">
        <f>SUM(N$523:N$622)</f>
        <v>0</v>
      </c>
      <c r="P14" s="67"/>
      <c r="Q14" s="140" t="str">
        <f>IF(I14&gt;0,AVERAGE(Q$523:Q$622),"")</f>
        <v/>
      </c>
      <c r="R14" s="67">
        <f t="shared" si="1"/>
        <v>0</v>
      </c>
      <c r="S14" s="69"/>
      <c r="T14" s="69"/>
      <c r="U14" s="69"/>
      <c r="X14" s="67"/>
      <c r="Y14" s="67">
        <f>SUM(Y$523:Y$622)</f>
        <v>0</v>
      </c>
      <c r="Z14" s="67">
        <f>SUM(Z$523:Z$622)</f>
        <v>0</v>
      </c>
      <c r="AA14" s="67">
        <f>SUM(AA$523:AA$622)</f>
        <v>0</v>
      </c>
      <c r="AB14" s="67"/>
      <c r="AC14" s="67"/>
      <c r="AD14" s="67">
        <f>SUM(AD$523:AD$622)</f>
        <v>0</v>
      </c>
      <c r="AE14" s="67">
        <f>SUM(AE$523:AE$622)</f>
        <v>0</v>
      </c>
      <c r="AF14" s="67"/>
    </row>
    <row r="15" spans="1:55" x14ac:dyDescent="0.3">
      <c r="A15" s="29">
        <v>7</v>
      </c>
      <c r="B15" s="65">
        <f t="shared" ca="1" si="0"/>
        <v>45200</v>
      </c>
      <c r="D15" s="28">
        <f ca="1">WORKDAY(B15,2,table_nedarbo_dienos[data])</f>
        <v>45202</v>
      </c>
      <c r="H15" s="67">
        <f t="array" ref="H15">SUM(IF(FREQUENCY(IF(LEN(H$624:H$723)&gt;0,MATCH(H$624:H$723,H$624:H$723,0),""), IF(LEN(H$624:H$723)&gt;0,MATCH(H$624:H$723,H$624:H$723,0),""))&gt;0,1))</f>
        <v>0</v>
      </c>
      <c r="I15" s="67">
        <f>COUNTA(G$624:G$723)</f>
        <v>0</v>
      </c>
      <c r="J15" s="67"/>
      <c r="K15" s="67"/>
      <c r="L15" s="67">
        <f>SUM(L$624:L$723)</f>
        <v>0</v>
      </c>
      <c r="M15" s="68">
        <f>SUM(M$624:M$723)/1000</f>
        <v>0</v>
      </c>
      <c r="N15" s="68">
        <f>SUM(N$624:N$723)</f>
        <v>0</v>
      </c>
      <c r="P15" s="67"/>
      <c r="Q15" s="140" t="str">
        <f>IF(I15&gt;0,AVERAGE(Q$624:Q$723),"")</f>
        <v/>
      </c>
      <c r="R15" s="67">
        <f t="shared" si="1"/>
        <v>0</v>
      </c>
      <c r="S15" s="69"/>
      <c r="T15" s="69"/>
      <c r="U15" s="69"/>
      <c r="X15" s="67"/>
      <c r="Y15" s="67">
        <f>SUM(Y$624:Y$723)</f>
        <v>0</v>
      </c>
      <c r="Z15" s="67">
        <f>SUM(Z$624:Z$723)</f>
        <v>0</v>
      </c>
      <c r="AA15" s="67">
        <f>SUM(AA$624:AA$723)</f>
        <v>0</v>
      </c>
      <c r="AB15" s="67"/>
      <c r="AC15" s="67"/>
      <c r="AD15" s="67">
        <f>SUM(AD$624:AD$723)</f>
        <v>0</v>
      </c>
      <c r="AE15" s="67">
        <f>SUM(AE$624:AE$723)</f>
        <v>0</v>
      </c>
      <c r="AF15" s="67"/>
    </row>
    <row r="16" spans="1:55" x14ac:dyDescent="0.3">
      <c r="B16" s="97"/>
      <c r="D16" s="28"/>
      <c r="H16" s="70">
        <f>SUM(H9:H15)</f>
        <v>5</v>
      </c>
      <c r="I16" s="70">
        <f>SUM(I$9:I$15)</f>
        <v>10</v>
      </c>
      <c r="L16" s="71">
        <f>SUM(L$9:L$15)</f>
        <v>114.09999999999998</v>
      </c>
      <c r="M16" s="72">
        <f>SUM(M$9:M$15)</f>
        <v>39.033028999999999</v>
      </c>
      <c r="N16" s="72">
        <f>SUM(N$9:N$15)</f>
        <v>19.295000000000002</v>
      </c>
      <c r="P16" s="27"/>
      <c r="Q16" s="141">
        <f>IF(I16&gt;0,AVERAGE(Q$9:Q$15),0)</f>
        <v>0.46683906093906097</v>
      </c>
      <c r="R16" s="70">
        <f>SUM(R9:R15)</f>
        <v>0</v>
      </c>
    </row>
    <row r="17" spans="1:55" ht="3.9" customHeight="1" x14ac:dyDescent="0.3">
      <c r="A17" s="46"/>
      <c r="B17" s="73"/>
      <c r="C17" s="73"/>
      <c r="D17" s="73"/>
      <c r="E17" s="73"/>
      <c r="F17" s="74"/>
      <c r="G17" s="46"/>
      <c r="H17" s="46"/>
      <c r="I17" s="46"/>
      <c r="J17" s="46"/>
      <c r="K17" s="46"/>
      <c r="L17" s="75"/>
      <c r="M17" s="76"/>
      <c r="N17" s="77"/>
      <c r="O17" s="46"/>
      <c r="P17" s="75"/>
      <c r="Q17" s="142"/>
      <c r="R17" s="46"/>
      <c r="S17" s="78"/>
      <c r="T17" s="78"/>
      <c r="U17" s="78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109"/>
      <c r="AQ17" s="109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</row>
    <row r="18" spans="1:55" x14ac:dyDescent="0.3">
      <c r="A18" s="144" t="s">
        <v>23</v>
      </c>
      <c r="B18" s="97" t="s">
        <v>865</v>
      </c>
      <c r="D18" s="28">
        <v>45196</v>
      </c>
      <c r="F18" s="79" t="s">
        <v>294</v>
      </c>
      <c r="G18" s="29" t="s">
        <v>259</v>
      </c>
      <c r="H18" s="29">
        <v>1</v>
      </c>
      <c r="I18" s="29" t="str">
        <f t="shared" ref="I18:I27" si="2">IF(G18&lt;&gt;"","1/"&amp;COUNTIF(G$18:G$724,G18),"")</f>
        <v>1/1</v>
      </c>
      <c r="L18" s="82">
        <v>14.18</v>
      </c>
      <c r="M18" s="32">
        <v>4145</v>
      </c>
      <c r="N18" s="33">
        <v>2.8170000000000002</v>
      </c>
      <c r="P18" s="82" t="s">
        <v>768</v>
      </c>
      <c r="Q18" s="104">
        <v>0.48561038961038955</v>
      </c>
      <c r="S18" s="83" t="s">
        <v>277</v>
      </c>
      <c r="T18" s="83"/>
      <c r="U18" s="83"/>
      <c r="V18" s="13"/>
      <c r="AK18" s="29">
        <v>3</v>
      </c>
      <c r="AL18" s="28">
        <v>45212</v>
      </c>
      <c r="AN18" s="29">
        <v>3420.0070000000001</v>
      </c>
      <c r="AO18" s="29">
        <v>200.00299999999999</v>
      </c>
      <c r="AQ18" s="27">
        <v>21.533000000000001</v>
      </c>
      <c r="AX18" s="29" t="s">
        <v>780</v>
      </c>
      <c r="BA18" s="89" t="s">
        <v>768</v>
      </c>
      <c r="BC18" s="29" t="s">
        <v>56</v>
      </c>
    </row>
    <row r="19" spans="1:55" x14ac:dyDescent="0.3">
      <c r="A19" s="144"/>
      <c r="B19" s="97">
        <v>45194</v>
      </c>
      <c r="D19" s="97" t="s">
        <v>866</v>
      </c>
      <c r="F19" s="79" t="s">
        <v>294</v>
      </c>
      <c r="G19" s="80" t="s">
        <v>193</v>
      </c>
      <c r="H19" s="80">
        <v>1</v>
      </c>
      <c r="I19" s="80" t="str">
        <f t="shared" si="2"/>
        <v>1/1</v>
      </c>
      <c r="J19" s="96" t="s">
        <v>278</v>
      </c>
      <c r="L19" s="31">
        <v>9.19</v>
      </c>
      <c r="M19" s="32">
        <v>2531</v>
      </c>
      <c r="N19" s="33">
        <v>1.8240000000000001</v>
      </c>
      <c r="P19" s="31" t="s">
        <v>770</v>
      </c>
      <c r="Q19" s="104">
        <v>0.48561038961038955</v>
      </c>
      <c r="S19" s="34" t="s">
        <v>277</v>
      </c>
      <c r="V19" s="13"/>
      <c r="AK19" s="29">
        <v>3</v>
      </c>
      <c r="AL19" s="28">
        <v>45212</v>
      </c>
      <c r="AN19" s="29">
        <v>3630</v>
      </c>
      <c r="AO19" s="29">
        <v>200.001</v>
      </c>
      <c r="AQ19" s="27">
        <v>10.656000000000001</v>
      </c>
      <c r="AX19" s="29" t="s">
        <v>780</v>
      </c>
      <c r="BA19" s="89" t="s">
        <v>770</v>
      </c>
      <c r="BC19" s="29" t="s">
        <v>56</v>
      </c>
    </row>
    <row r="20" spans="1:55" x14ac:dyDescent="0.3">
      <c r="A20" s="144"/>
      <c r="B20" s="97" t="s">
        <v>867</v>
      </c>
      <c r="D20" s="97" t="s">
        <v>868</v>
      </c>
      <c r="F20" s="79" t="s">
        <v>294</v>
      </c>
      <c r="G20" s="80" t="s">
        <v>491</v>
      </c>
      <c r="H20" s="80">
        <v>2</v>
      </c>
      <c r="I20" s="80" t="str">
        <f t="shared" si="2"/>
        <v>1/1</v>
      </c>
      <c r="J20" s="87"/>
      <c r="L20" s="82">
        <v>7.35</v>
      </c>
      <c r="M20" s="32">
        <v>2239.9989999999998</v>
      </c>
      <c r="N20" s="33">
        <v>1.361</v>
      </c>
      <c r="P20" s="82" t="s">
        <v>580</v>
      </c>
      <c r="Q20" s="104">
        <v>0.27033766233766232</v>
      </c>
      <c r="S20" s="83" t="s">
        <v>584</v>
      </c>
      <c r="T20" s="83"/>
      <c r="U20" s="83"/>
      <c r="V20" s="13"/>
      <c r="AK20" s="29">
        <v>6</v>
      </c>
      <c r="AL20" s="28">
        <v>45260</v>
      </c>
      <c r="AN20" s="29">
        <v>3280.0070000000001</v>
      </c>
      <c r="AO20" s="29">
        <v>545.00699999999995</v>
      </c>
      <c r="AQ20" s="27">
        <v>19.943999999999999</v>
      </c>
      <c r="AX20" s="29" t="s">
        <v>780</v>
      </c>
      <c r="BA20" s="89" t="s">
        <v>580</v>
      </c>
      <c r="BC20" s="29" t="s">
        <v>57</v>
      </c>
    </row>
    <row r="21" spans="1:55" x14ac:dyDescent="0.3">
      <c r="A21" s="144"/>
      <c r="B21" s="97">
        <v>45194</v>
      </c>
      <c r="D21" s="28">
        <v>45196</v>
      </c>
      <c r="F21" s="79" t="s">
        <v>294</v>
      </c>
      <c r="G21" s="80" t="s">
        <v>232</v>
      </c>
      <c r="H21" s="80">
        <v>2</v>
      </c>
      <c r="I21" s="80" t="str">
        <f t="shared" si="2"/>
        <v>1/1</v>
      </c>
      <c r="J21" s="28"/>
      <c r="L21" s="82">
        <v>5.66</v>
      </c>
      <c r="M21" s="32">
        <v>1560</v>
      </c>
      <c r="N21" s="33">
        <v>1.1240000000000001</v>
      </c>
      <c r="P21" s="82" t="s">
        <v>766</v>
      </c>
      <c r="Q21" s="104">
        <v>0.27033766233766232</v>
      </c>
      <c r="S21" s="83" t="s">
        <v>277</v>
      </c>
      <c r="T21" s="83"/>
      <c r="U21" s="83"/>
      <c r="V21" s="13"/>
      <c r="AK21" s="29">
        <v>3</v>
      </c>
      <c r="AL21" s="28">
        <v>45212</v>
      </c>
      <c r="AN21" s="29">
        <v>3630</v>
      </c>
      <c r="AO21" s="29">
        <v>200</v>
      </c>
      <c r="AQ21" s="27">
        <v>23.03</v>
      </c>
      <c r="AX21" s="29" t="s">
        <v>780</v>
      </c>
      <c r="BA21" s="29" t="s">
        <v>766</v>
      </c>
      <c r="BC21" s="29" t="s">
        <v>56</v>
      </c>
    </row>
    <row r="22" spans="1:55" x14ac:dyDescent="0.3">
      <c r="A22" s="144"/>
      <c r="B22" s="97">
        <v>45194</v>
      </c>
      <c r="D22" s="28">
        <v>45196</v>
      </c>
      <c r="F22" s="79" t="s">
        <v>294</v>
      </c>
      <c r="G22" s="29" t="s">
        <v>376</v>
      </c>
      <c r="H22" s="29">
        <v>3</v>
      </c>
      <c r="I22" s="29" t="str">
        <f t="shared" si="2"/>
        <v>1/1</v>
      </c>
      <c r="J22" s="13" t="s">
        <v>349</v>
      </c>
      <c r="L22" s="82">
        <v>16.89</v>
      </c>
      <c r="M22" s="32">
        <v>5150.04</v>
      </c>
      <c r="N22" s="33">
        <v>2.6720000000000002</v>
      </c>
      <c r="P22" s="82" t="s">
        <v>578</v>
      </c>
      <c r="Q22" s="104">
        <v>0.53838961038961042</v>
      </c>
      <c r="S22" s="83" t="s">
        <v>584</v>
      </c>
      <c r="T22" s="83"/>
      <c r="U22" s="83"/>
      <c r="V22" s="13"/>
      <c r="AK22" s="29">
        <v>6</v>
      </c>
      <c r="AL22" s="28">
        <v>45260</v>
      </c>
      <c r="AN22" s="29">
        <v>3280.01</v>
      </c>
      <c r="AO22" s="29">
        <v>595.00099999999998</v>
      </c>
      <c r="AP22" s="27">
        <v>2</v>
      </c>
      <c r="AQ22" s="27">
        <v>30.738</v>
      </c>
      <c r="AX22" s="29" t="s">
        <v>780</v>
      </c>
      <c r="BA22" s="29" t="s">
        <v>578</v>
      </c>
      <c r="BC22" s="29" t="s">
        <v>57</v>
      </c>
    </row>
    <row r="23" spans="1:55" x14ac:dyDescent="0.3">
      <c r="A23" s="144"/>
      <c r="B23" s="97">
        <v>45194</v>
      </c>
      <c r="D23" s="28">
        <v>45196</v>
      </c>
      <c r="F23" s="79" t="s">
        <v>294</v>
      </c>
      <c r="G23" s="80" t="s">
        <v>371</v>
      </c>
      <c r="H23" s="80">
        <v>3</v>
      </c>
      <c r="I23" s="80" t="str">
        <f t="shared" si="2"/>
        <v>1/1</v>
      </c>
      <c r="J23" s="28" t="s">
        <v>278</v>
      </c>
      <c r="L23" s="82">
        <v>9.02</v>
      </c>
      <c r="M23" s="32">
        <v>7775.9880000000003</v>
      </c>
      <c r="N23" s="33">
        <v>1.2569999999999999</v>
      </c>
      <c r="P23" s="82" t="s">
        <v>370</v>
      </c>
      <c r="Q23" s="104">
        <v>0.53838961038961042</v>
      </c>
      <c r="S23" s="83" t="s">
        <v>359</v>
      </c>
      <c r="T23" s="83"/>
      <c r="U23" s="83"/>
      <c r="V23" s="13"/>
      <c r="AK23" s="29">
        <v>3</v>
      </c>
      <c r="AL23" s="28">
        <v>45225</v>
      </c>
      <c r="AN23" s="29">
        <v>1160</v>
      </c>
      <c r="AO23" s="29">
        <v>140</v>
      </c>
      <c r="AQ23" s="27">
        <v>29.251999999999999</v>
      </c>
      <c r="AX23" s="29" t="s">
        <v>780</v>
      </c>
      <c r="BA23" s="29" t="s">
        <v>370</v>
      </c>
      <c r="BC23" s="29" t="s">
        <v>56</v>
      </c>
    </row>
    <row r="24" spans="1:55" x14ac:dyDescent="0.3">
      <c r="A24" s="144"/>
      <c r="B24" s="97">
        <v>45194</v>
      </c>
      <c r="D24" s="28">
        <v>45196</v>
      </c>
      <c r="F24" s="79" t="s">
        <v>294</v>
      </c>
      <c r="G24" s="80" t="s">
        <v>296</v>
      </c>
      <c r="H24" s="80">
        <v>4</v>
      </c>
      <c r="I24" s="80" t="str">
        <f t="shared" si="2"/>
        <v>1/1</v>
      </c>
      <c r="J24" s="29" t="s">
        <v>349</v>
      </c>
      <c r="L24" s="82">
        <v>21.02</v>
      </c>
      <c r="M24" s="32">
        <v>6410.0150000000003</v>
      </c>
      <c r="N24" s="33">
        <v>3.0609999999999999</v>
      </c>
      <c r="P24" s="82" t="s">
        <v>565</v>
      </c>
      <c r="Q24" s="104">
        <v>0.58389610389610391</v>
      </c>
      <c r="S24" s="83" t="s">
        <v>584</v>
      </c>
      <c r="T24" s="83"/>
      <c r="U24" s="83"/>
      <c r="V24" s="13"/>
      <c r="AK24" s="29">
        <v>6</v>
      </c>
      <c r="AL24" s="28">
        <v>45260</v>
      </c>
      <c r="AN24" s="29">
        <v>3280.0070000000001</v>
      </c>
      <c r="AO24" s="29">
        <v>595.01</v>
      </c>
      <c r="AP24" s="27">
        <v>2</v>
      </c>
      <c r="AQ24" s="27">
        <v>27.55</v>
      </c>
      <c r="AX24" s="29" t="s">
        <v>780</v>
      </c>
      <c r="BA24" s="89" t="s">
        <v>565</v>
      </c>
      <c r="BC24" s="29" t="s">
        <v>57</v>
      </c>
    </row>
    <row r="25" spans="1:55" x14ac:dyDescent="0.3">
      <c r="A25" s="144"/>
      <c r="B25" s="97">
        <v>45194</v>
      </c>
      <c r="D25" s="28">
        <v>45196</v>
      </c>
      <c r="F25" s="79" t="s">
        <v>294</v>
      </c>
      <c r="G25" s="80" t="s">
        <v>143</v>
      </c>
      <c r="H25" s="80">
        <v>4</v>
      </c>
      <c r="I25" s="80" t="str">
        <f t="shared" si="2"/>
        <v>1/1</v>
      </c>
      <c r="J25" s="13" t="s">
        <v>278</v>
      </c>
      <c r="L25" s="82">
        <v>7.08</v>
      </c>
      <c r="M25" s="32">
        <v>2081</v>
      </c>
      <c r="N25" s="33">
        <v>1.397</v>
      </c>
      <c r="P25" s="82" t="s">
        <v>760</v>
      </c>
      <c r="Q25" s="104">
        <v>0.58389610389610391</v>
      </c>
      <c r="S25" s="83" t="s">
        <v>277</v>
      </c>
      <c r="T25" s="83"/>
      <c r="U25" s="83"/>
      <c r="V25" s="13"/>
      <c r="AK25" s="29">
        <v>3</v>
      </c>
      <c r="AL25" s="28">
        <v>45211</v>
      </c>
      <c r="AN25" s="29">
        <v>3400.0070000000001</v>
      </c>
      <c r="AO25" s="29">
        <v>200.00399999999999</v>
      </c>
      <c r="AQ25" s="27">
        <v>16.030999999999999</v>
      </c>
      <c r="AX25" s="29" t="s">
        <v>780</v>
      </c>
      <c r="BA25" s="89" t="s">
        <v>760</v>
      </c>
      <c r="BC25" s="29" t="s">
        <v>56</v>
      </c>
    </row>
    <row r="26" spans="1:55" x14ac:dyDescent="0.3">
      <c r="A26" s="144"/>
      <c r="B26" s="97">
        <v>45194</v>
      </c>
      <c r="D26" s="28">
        <v>45196</v>
      </c>
      <c r="F26" s="79" t="s">
        <v>294</v>
      </c>
      <c r="G26" s="29" t="s">
        <v>199</v>
      </c>
      <c r="H26" s="29">
        <v>5</v>
      </c>
      <c r="I26" s="29" t="str">
        <f t="shared" si="2"/>
        <v>1/1</v>
      </c>
      <c r="J26" s="13"/>
      <c r="L26" s="82">
        <v>8.36</v>
      </c>
      <c r="M26" s="32">
        <v>2460</v>
      </c>
      <c r="N26" s="33">
        <v>1.61</v>
      </c>
      <c r="P26" s="82" t="s">
        <v>772</v>
      </c>
      <c r="Q26" s="104">
        <v>0.45596153846153847</v>
      </c>
      <c r="S26" s="83" t="s">
        <v>277</v>
      </c>
      <c r="T26" s="83"/>
      <c r="U26" s="83"/>
      <c r="V26" s="13"/>
      <c r="AK26" s="29">
        <v>3</v>
      </c>
      <c r="AL26" s="28">
        <v>45211</v>
      </c>
      <c r="AN26" s="29">
        <v>3400.0070000000001</v>
      </c>
      <c r="AO26" s="29">
        <v>200.00200000000001</v>
      </c>
      <c r="AQ26" s="27">
        <v>31.757999999999999</v>
      </c>
      <c r="AX26" s="29" t="s">
        <v>780</v>
      </c>
      <c r="BA26" s="89" t="s">
        <v>772</v>
      </c>
      <c r="BC26" s="29" t="s">
        <v>56</v>
      </c>
    </row>
    <row r="27" spans="1:55" x14ac:dyDescent="0.3">
      <c r="A27" s="144"/>
      <c r="B27" s="97">
        <v>45194</v>
      </c>
      <c r="D27" s="28">
        <v>45196</v>
      </c>
      <c r="F27" s="79" t="s">
        <v>294</v>
      </c>
      <c r="G27" s="80" t="s">
        <v>384</v>
      </c>
      <c r="H27" s="80">
        <v>5</v>
      </c>
      <c r="I27" s="80" t="str">
        <f t="shared" si="2"/>
        <v>1/1</v>
      </c>
      <c r="J27" s="29" t="s">
        <v>349</v>
      </c>
      <c r="L27" s="82">
        <v>15.35</v>
      </c>
      <c r="M27" s="32">
        <v>4679.9870000000001</v>
      </c>
      <c r="N27" s="33">
        <v>2.1720000000000002</v>
      </c>
      <c r="P27" s="82" t="s">
        <v>573</v>
      </c>
      <c r="Q27" s="104">
        <v>0.45596153846153847</v>
      </c>
      <c r="S27" s="83" t="s">
        <v>584</v>
      </c>
      <c r="T27" s="83"/>
      <c r="U27" s="83"/>
      <c r="V27" s="13"/>
      <c r="AK27" s="29">
        <v>5</v>
      </c>
      <c r="AL27" s="28">
        <v>45246</v>
      </c>
      <c r="AN27" s="29">
        <v>3280.01</v>
      </c>
      <c r="AO27" s="29">
        <v>595.01099999999997</v>
      </c>
      <c r="AP27" s="27">
        <v>1</v>
      </c>
      <c r="AQ27" s="27">
        <v>22.518999999999998</v>
      </c>
      <c r="AX27" s="29" t="s">
        <v>780</v>
      </c>
      <c r="BA27" s="89" t="s">
        <v>573</v>
      </c>
      <c r="BC27" s="29" t="s">
        <v>57</v>
      </c>
    </row>
    <row r="28" spans="1:55" x14ac:dyDescent="0.3">
      <c r="A28" s="144"/>
      <c r="B28" s="28"/>
      <c r="D28" s="28"/>
      <c r="F28" s="79"/>
      <c r="G28" s="80"/>
      <c r="H28" s="80"/>
      <c r="I28" s="80"/>
      <c r="J28" s="80"/>
      <c r="L28" s="82"/>
      <c r="P28" s="82"/>
      <c r="Q28" s="104"/>
      <c r="S28" s="83"/>
      <c r="T28" s="83"/>
      <c r="U28" s="83"/>
      <c r="V28" s="13"/>
      <c r="AL28" s="28"/>
      <c r="BA28" s="89"/>
    </row>
    <row r="29" spans="1:55" x14ac:dyDescent="0.3">
      <c r="A29" s="144"/>
      <c r="B29" s="28"/>
      <c r="D29" s="28"/>
      <c r="F29" s="79"/>
      <c r="J29" s="97"/>
      <c r="L29" s="82"/>
      <c r="P29" s="82"/>
      <c r="Q29" s="104"/>
      <c r="S29" s="83"/>
      <c r="T29" s="83"/>
      <c r="U29" s="83"/>
      <c r="V29" s="13"/>
      <c r="AL29" s="28"/>
    </row>
    <row r="30" spans="1:55" x14ac:dyDescent="0.3">
      <c r="A30" s="144"/>
      <c r="B30" s="28"/>
      <c r="D30" s="28"/>
      <c r="J30" s="97"/>
      <c r="L30" s="82"/>
      <c r="P30" s="82"/>
      <c r="Q30" s="104"/>
      <c r="S30" s="83"/>
      <c r="T30" s="83"/>
      <c r="U30" s="83"/>
      <c r="V30" s="13"/>
      <c r="AL30" s="28"/>
      <c r="BA30" s="89"/>
    </row>
    <row r="31" spans="1:55" x14ac:dyDescent="0.3">
      <c r="A31" s="144"/>
      <c r="B31" s="28"/>
      <c r="D31" s="28"/>
      <c r="F31" s="79"/>
      <c r="J31" s="97"/>
      <c r="L31" s="82"/>
      <c r="P31" s="82"/>
      <c r="Q31" s="104"/>
      <c r="S31" s="83"/>
      <c r="T31" s="83"/>
      <c r="U31" s="83"/>
      <c r="AL31" s="28"/>
      <c r="BA31" s="89"/>
    </row>
    <row r="32" spans="1:55" x14ac:dyDescent="0.3">
      <c r="A32" s="144"/>
      <c r="B32" s="28"/>
      <c r="D32" s="28"/>
      <c r="F32" s="79"/>
      <c r="G32" s="80"/>
      <c r="H32" s="80"/>
      <c r="I32" s="80"/>
      <c r="J32" s="97"/>
      <c r="L32" s="82"/>
      <c r="P32" s="82"/>
      <c r="Q32" s="104"/>
      <c r="S32" s="83"/>
      <c r="T32" s="83"/>
      <c r="U32" s="83"/>
      <c r="V32" s="13"/>
      <c r="AL32" s="28"/>
      <c r="BA32" s="89"/>
    </row>
    <row r="33" spans="1:53" x14ac:dyDescent="0.3">
      <c r="A33" s="144"/>
      <c r="B33" s="28"/>
      <c r="D33" s="28"/>
      <c r="F33" s="79"/>
      <c r="G33" s="80"/>
      <c r="H33" s="80"/>
      <c r="I33" s="80"/>
      <c r="J33" s="97"/>
      <c r="L33" s="82"/>
      <c r="P33" s="82"/>
      <c r="Q33" s="104"/>
      <c r="S33" s="83"/>
      <c r="T33" s="83"/>
      <c r="U33" s="83"/>
      <c r="V33" s="13"/>
      <c r="AL33" s="28"/>
    </row>
    <row r="34" spans="1:53" x14ac:dyDescent="0.3">
      <c r="A34" s="144"/>
      <c r="B34" s="28"/>
      <c r="D34" s="28"/>
      <c r="F34" s="79"/>
      <c r="G34" s="105"/>
      <c r="J34" s="97"/>
      <c r="L34" s="82"/>
      <c r="P34" s="82"/>
      <c r="Q34" s="104"/>
      <c r="S34" s="83"/>
      <c r="T34" s="83"/>
      <c r="U34" s="83"/>
      <c r="V34" s="13"/>
      <c r="AL34" s="28"/>
      <c r="BA34" s="89"/>
    </row>
    <row r="35" spans="1:53" x14ac:dyDescent="0.3">
      <c r="A35" s="144"/>
      <c r="B35" s="28"/>
      <c r="D35" s="28"/>
      <c r="J35" s="13"/>
      <c r="L35" s="82"/>
      <c r="P35" s="82"/>
      <c r="Q35" s="104"/>
      <c r="S35" s="83"/>
      <c r="T35" s="83"/>
      <c r="U35" s="83"/>
      <c r="V35" s="13"/>
      <c r="AL35" s="28"/>
      <c r="BA35" s="119"/>
    </row>
    <row r="36" spans="1:53" x14ac:dyDescent="0.3">
      <c r="A36" s="144"/>
      <c r="B36" s="28"/>
      <c r="D36" s="28"/>
      <c r="F36" s="79"/>
      <c r="G36" s="80"/>
      <c r="H36" s="80"/>
      <c r="I36" s="80"/>
      <c r="J36" s="87"/>
      <c r="L36" s="82"/>
      <c r="P36" s="82"/>
      <c r="Q36" s="104"/>
      <c r="S36" s="83"/>
      <c r="T36" s="83"/>
      <c r="U36" s="83"/>
      <c r="V36" s="13"/>
      <c r="AL36" s="28"/>
      <c r="BA36" s="89"/>
    </row>
    <row r="37" spans="1:53" x14ac:dyDescent="0.3">
      <c r="A37" s="144"/>
      <c r="B37" s="28"/>
      <c r="D37" s="28"/>
      <c r="F37" s="79"/>
      <c r="G37" s="80"/>
      <c r="H37" s="80"/>
      <c r="I37" s="80"/>
      <c r="J37" s="87"/>
      <c r="L37" s="82"/>
      <c r="P37" s="82"/>
      <c r="Q37" s="104"/>
      <c r="S37" s="83"/>
      <c r="T37" s="83"/>
      <c r="U37" s="83"/>
      <c r="V37" s="13"/>
      <c r="AL37" s="28"/>
      <c r="BA37" s="89"/>
    </row>
    <row r="38" spans="1:53" ht="12" customHeight="1" x14ac:dyDescent="0.3">
      <c r="A38" s="144"/>
      <c r="B38" s="28"/>
      <c r="D38" s="28"/>
      <c r="L38" s="82"/>
      <c r="P38" s="82"/>
      <c r="Q38" s="104"/>
      <c r="S38" s="83"/>
      <c r="T38" s="83"/>
      <c r="U38" s="83"/>
      <c r="V38" s="13"/>
      <c r="AL38" s="28"/>
      <c r="BA38" s="89"/>
    </row>
    <row r="39" spans="1:53" x14ac:dyDescent="0.3">
      <c r="A39" s="144"/>
      <c r="B39" s="28"/>
      <c r="D39" s="28"/>
      <c r="F39" s="79"/>
      <c r="G39" s="80"/>
      <c r="H39" s="80"/>
      <c r="I39" s="80"/>
      <c r="J39" s="87"/>
      <c r="L39" s="82"/>
      <c r="P39" s="82"/>
      <c r="Q39" s="104"/>
      <c r="S39" s="83"/>
      <c r="T39" s="83"/>
      <c r="U39" s="83"/>
      <c r="V39" s="13"/>
      <c r="AL39" s="28"/>
      <c r="BA39" s="89"/>
    </row>
    <row r="40" spans="1:53" x14ac:dyDescent="0.3">
      <c r="A40" s="144"/>
      <c r="B40" s="28"/>
      <c r="D40" s="28"/>
      <c r="J40" s="13"/>
      <c r="L40" s="82"/>
      <c r="P40" s="82"/>
      <c r="Q40" s="104"/>
      <c r="S40" s="83"/>
      <c r="T40" s="83"/>
      <c r="U40" s="83"/>
      <c r="V40" s="13"/>
      <c r="AL40" s="28"/>
      <c r="BA40" s="89"/>
    </row>
    <row r="41" spans="1:53" x14ac:dyDescent="0.3">
      <c r="A41" s="144"/>
      <c r="B41" s="28"/>
      <c r="D41" s="28"/>
      <c r="F41" s="79"/>
      <c r="G41" s="80"/>
      <c r="H41" s="80"/>
      <c r="I41" s="80"/>
      <c r="J41" s="80"/>
      <c r="L41" s="82"/>
      <c r="P41" s="82"/>
      <c r="Q41" s="104"/>
      <c r="S41" s="83"/>
      <c r="T41" s="83"/>
      <c r="U41" s="83"/>
      <c r="V41" s="13"/>
      <c r="AL41" s="28"/>
      <c r="BA41" s="89"/>
    </row>
    <row r="42" spans="1:53" x14ac:dyDescent="0.3">
      <c r="A42" s="144"/>
      <c r="B42" s="28"/>
      <c r="D42" s="28"/>
      <c r="G42" s="87"/>
      <c r="L42" s="82"/>
      <c r="P42" s="82"/>
      <c r="Q42" s="104"/>
      <c r="S42" s="83"/>
      <c r="T42" s="83"/>
      <c r="U42" s="83"/>
      <c r="V42" s="13"/>
      <c r="AL42" s="28"/>
      <c r="BA42" s="89"/>
    </row>
    <row r="43" spans="1:53" x14ac:dyDescent="0.3">
      <c r="A43" s="144"/>
      <c r="B43" s="28"/>
      <c r="D43" s="28"/>
      <c r="L43" s="82"/>
      <c r="P43" s="82"/>
      <c r="Q43" s="104"/>
      <c r="S43" s="83"/>
      <c r="T43" s="83"/>
      <c r="U43" s="83"/>
      <c r="V43" s="13"/>
      <c r="AL43" s="28"/>
      <c r="BA43" s="89"/>
    </row>
    <row r="44" spans="1:53" x14ac:dyDescent="0.3">
      <c r="A44" s="144"/>
      <c r="B44" s="28"/>
      <c r="D44" s="28"/>
      <c r="F44" s="79"/>
      <c r="G44" s="80"/>
      <c r="H44" s="80"/>
      <c r="I44" s="80"/>
      <c r="J44" s="81"/>
      <c r="L44" s="82"/>
      <c r="P44" s="82"/>
      <c r="Q44" s="104"/>
      <c r="S44" s="83"/>
      <c r="T44" s="83"/>
      <c r="U44" s="83"/>
      <c r="V44" s="13"/>
      <c r="AL44" s="28"/>
      <c r="BA44" s="89"/>
    </row>
    <row r="45" spans="1:53" x14ac:dyDescent="0.3">
      <c r="A45" s="144"/>
      <c r="B45" s="28"/>
      <c r="D45" s="28"/>
      <c r="F45" s="79"/>
      <c r="G45" s="80"/>
      <c r="H45" s="80"/>
      <c r="I45" s="80"/>
      <c r="J45" s="80"/>
      <c r="L45" s="82"/>
      <c r="P45" s="82"/>
      <c r="Q45" s="104"/>
      <c r="S45" s="83"/>
      <c r="T45" s="83"/>
      <c r="U45" s="83"/>
      <c r="V45" s="13"/>
      <c r="AL45" s="28"/>
      <c r="BA45" s="89"/>
    </row>
    <row r="46" spans="1:53" x14ac:dyDescent="0.3">
      <c r="A46" s="144"/>
      <c r="B46" s="28"/>
      <c r="D46" s="28"/>
      <c r="F46" s="79"/>
      <c r="J46" s="13"/>
      <c r="L46" s="82"/>
      <c r="P46" s="82"/>
      <c r="Q46" s="104"/>
      <c r="S46" s="83"/>
      <c r="T46" s="83"/>
      <c r="U46" s="83"/>
      <c r="AL46" s="28"/>
      <c r="BA46" s="89"/>
    </row>
    <row r="47" spans="1:53" x14ac:dyDescent="0.3">
      <c r="A47" s="144"/>
      <c r="B47" s="28"/>
      <c r="D47" s="28"/>
      <c r="F47" s="79"/>
      <c r="J47" s="87"/>
      <c r="L47" s="82"/>
      <c r="P47" s="82"/>
      <c r="Q47" s="104"/>
      <c r="S47" s="83"/>
      <c r="T47" s="83"/>
      <c r="U47" s="83"/>
      <c r="V47" s="13"/>
      <c r="AL47" s="28"/>
      <c r="BA47" s="89"/>
    </row>
    <row r="48" spans="1:53" x14ac:dyDescent="0.3">
      <c r="A48" s="144"/>
      <c r="B48" s="28"/>
      <c r="D48" s="28"/>
      <c r="F48" s="79"/>
      <c r="G48" s="80"/>
      <c r="H48" s="80"/>
      <c r="I48" s="80"/>
      <c r="L48" s="82"/>
      <c r="P48" s="82"/>
      <c r="Q48" s="104"/>
      <c r="S48" s="83"/>
      <c r="T48" s="83"/>
      <c r="U48" s="83"/>
      <c r="AL48" s="28"/>
      <c r="BA48" s="89"/>
    </row>
    <row r="49" spans="1:53" x14ac:dyDescent="0.3">
      <c r="A49" s="144"/>
      <c r="B49" s="28"/>
      <c r="D49" s="28"/>
      <c r="F49" s="79"/>
      <c r="G49" s="80"/>
      <c r="H49" s="80"/>
      <c r="I49" s="80"/>
      <c r="J49" s="28"/>
      <c r="L49" s="82"/>
      <c r="P49" s="82"/>
      <c r="Q49" s="104"/>
      <c r="S49" s="83"/>
      <c r="T49" s="83"/>
      <c r="U49" s="83"/>
      <c r="AL49" s="28"/>
      <c r="BA49" s="89"/>
    </row>
    <row r="50" spans="1:53" x14ac:dyDescent="0.3">
      <c r="A50" s="144"/>
      <c r="B50" s="28"/>
      <c r="D50" s="28"/>
      <c r="F50" s="79"/>
      <c r="G50" s="80"/>
      <c r="H50" s="80"/>
      <c r="I50" s="80"/>
      <c r="L50" s="82"/>
      <c r="P50" s="82"/>
      <c r="Q50" s="104"/>
      <c r="S50" s="83"/>
      <c r="T50" s="83"/>
      <c r="U50" s="83"/>
      <c r="V50" s="13"/>
      <c r="AL50" s="28"/>
      <c r="BA50" s="89"/>
    </row>
    <row r="51" spans="1:53" x14ac:dyDescent="0.3">
      <c r="A51" s="144"/>
      <c r="B51" s="28"/>
      <c r="D51" s="28"/>
      <c r="F51" s="79"/>
      <c r="G51" s="80"/>
      <c r="H51" s="80"/>
      <c r="I51" s="80"/>
      <c r="J51" s="80"/>
      <c r="L51" s="82"/>
      <c r="P51" s="82"/>
      <c r="Q51" s="104"/>
      <c r="S51" s="83"/>
      <c r="T51" s="83"/>
      <c r="U51" s="83"/>
      <c r="V51" s="13"/>
      <c r="AL51" s="28"/>
      <c r="BA51" s="89"/>
    </row>
    <row r="52" spans="1:53" x14ac:dyDescent="0.3">
      <c r="A52" s="144"/>
      <c r="B52" s="28"/>
      <c r="D52" s="28"/>
      <c r="J52" s="13"/>
      <c r="L52" s="82"/>
      <c r="P52" s="82"/>
      <c r="Q52" s="104"/>
      <c r="S52" s="83"/>
      <c r="T52" s="83"/>
      <c r="U52" s="83"/>
      <c r="V52" s="13"/>
      <c r="AL52" s="28"/>
      <c r="BA52" s="89"/>
    </row>
    <row r="53" spans="1:53" x14ac:dyDescent="0.3">
      <c r="A53" s="144"/>
      <c r="B53" s="28"/>
      <c r="D53" s="28"/>
      <c r="J53" s="97"/>
      <c r="L53" s="82"/>
      <c r="P53" s="82"/>
      <c r="Q53" s="104"/>
      <c r="S53" s="83"/>
      <c r="T53" s="83"/>
      <c r="U53" s="83"/>
      <c r="V53" s="13"/>
      <c r="AL53" s="28"/>
      <c r="BA53" s="89"/>
    </row>
    <row r="54" spans="1:53" x14ac:dyDescent="0.3">
      <c r="A54" s="144"/>
      <c r="B54" s="28"/>
      <c r="D54" s="28"/>
      <c r="F54" s="79"/>
      <c r="J54" s="28"/>
      <c r="L54" s="82"/>
      <c r="P54" s="82"/>
      <c r="Q54" s="104"/>
      <c r="S54" s="83"/>
      <c r="T54" s="83"/>
      <c r="U54" s="83"/>
      <c r="AL54" s="28"/>
      <c r="BA54" s="89"/>
    </row>
    <row r="55" spans="1:53" x14ac:dyDescent="0.3">
      <c r="A55" s="144"/>
      <c r="B55" s="28"/>
      <c r="D55" s="28"/>
      <c r="F55" s="79"/>
      <c r="G55" s="80"/>
      <c r="H55" s="80"/>
      <c r="I55" s="80"/>
      <c r="L55" s="82"/>
      <c r="P55" s="82"/>
      <c r="Q55" s="104"/>
      <c r="S55" s="83"/>
      <c r="T55" s="83"/>
      <c r="U55" s="83"/>
      <c r="V55" s="13"/>
      <c r="AL55" s="28"/>
      <c r="BA55" s="89"/>
    </row>
    <row r="56" spans="1:53" x14ac:dyDescent="0.3">
      <c r="A56" s="144"/>
      <c r="B56" s="28"/>
      <c r="D56" s="28"/>
      <c r="F56" s="79"/>
      <c r="G56" s="80"/>
      <c r="H56" s="80"/>
      <c r="I56" s="80"/>
      <c r="L56" s="82"/>
      <c r="P56" s="82"/>
      <c r="Q56" s="104"/>
      <c r="S56" s="83"/>
      <c r="T56" s="83"/>
      <c r="U56" s="83"/>
      <c r="AL56" s="28"/>
      <c r="BA56" s="89"/>
    </row>
    <row r="57" spans="1:53" x14ac:dyDescent="0.3">
      <c r="A57" s="144"/>
      <c r="B57" s="28"/>
      <c r="D57" s="28"/>
      <c r="F57" s="79"/>
      <c r="G57" s="80"/>
      <c r="H57" s="80"/>
      <c r="I57" s="80"/>
      <c r="J57" s="28"/>
      <c r="L57" s="82"/>
      <c r="P57" s="82"/>
      <c r="Q57" s="104"/>
      <c r="S57" s="83"/>
      <c r="T57" s="83"/>
      <c r="U57" s="83"/>
      <c r="V57" s="13"/>
      <c r="AL57" s="28"/>
    </row>
    <row r="58" spans="1:53" x14ac:dyDescent="0.3">
      <c r="A58" s="144"/>
      <c r="B58" s="28"/>
      <c r="D58" s="28"/>
      <c r="F58" s="79"/>
      <c r="G58" s="80"/>
      <c r="H58" s="80"/>
      <c r="I58" s="80"/>
      <c r="J58" s="97"/>
      <c r="L58" s="82"/>
      <c r="P58" s="82"/>
      <c r="Q58" s="104"/>
      <c r="S58" s="83"/>
      <c r="T58" s="83"/>
      <c r="U58" s="83"/>
      <c r="AL58" s="28"/>
      <c r="BA58" s="89"/>
    </row>
    <row r="59" spans="1:53" x14ac:dyDescent="0.3">
      <c r="A59" s="144"/>
      <c r="B59" s="28"/>
      <c r="D59" s="28"/>
      <c r="F59" s="79"/>
      <c r="J59" s="97"/>
      <c r="L59" s="82"/>
      <c r="P59" s="82"/>
      <c r="Q59" s="104"/>
      <c r="S59" s="83"/>
      <c r="T59" s="83"/>
      <c r="U59" s="83"/>
      <c r="AL59" s="28"/>
      <c r="BA59" s="89"/>
    </row>
    <row r="60" spans="1:53" x14ac:dyDescent="0.3">
      <c r="A60" s="144"/>
      <c r="B60" s="28"/>
      <c r="D60" s="28"/>
      <c r="J60" s="28"/>
      <c r="L60" s="82"/>
      <c r="P60" s="82"/>
      <c r="Q60" s="104"/>
      <c r="S60" s="83"/>
      <c r="T60" s="83"/>
      <c r="U60" s="83"/>
      <c r="V60" s="13"/>
      <c r="AL60" s="28"/>
      <c r="BA60" s="89"/>
    </row>
    <row r="61" spans="1:53" x14ac:dyDescent="0.3">
      <c r="A61" s="144"/>
      <c r="B61" s="28"/>
      <c r="D61" s="28"/>
      <c r="J61" s="28"/>
      <c r="L61" s="82"/>
      <c r="P61" s="82"/>
      <c r="Q61" s="104"/>
      <c r="S61" s="83"/>
      <c r="T61" s="83"/>
      <c r="U61" s="83"/>
      <c r="V61" s="13"/>
      <c r="AL61" s="28"/>
      <c r="BA61" s="89"/>
    </row>
    <row r="62" spans="1:53" x14ac:dyDescent="0.3">
      <c r="A62" s="144"/>
      <c r="B62" s="28"/>
      <c r="D62" s="28"/>
      <c r="L62" s="82"/>
      <c r="P62" s="82"/>
      <c r="Q62" s="104"/>
      <c r="S62" s="83"/>
      <c r="T62" s="83"/>
      <c r="U62" s="83"/>
      <c r="V62" s="13"/>
      <c r="AL62" s="28"/>
      <c r="BA62" s="89"/>
    </row>
    <row r="63" spans="1:53" x14ac:dyDescent="0.3">
      <c r="A63" s="144"/>
      <c r="B63" s="28"/>
      <c r="D63" s="28"/>
      <c r="F63" s="79"/>
      <c r="L63" s="82"/>
      <c r="P63" s="82"/>
      <c r="Q63" s="104"/>
      <c r="S63" s="83"/>
      <c r="T63" s="83"/>
      <c r="U63" s="83"/>
      <c r="AL63" s="28"/>
      <c r="BA63" s="89"/>
    </row>
    <row r="64" spans="1:53" x14ac:dyDescent="0.3">
      <c r="A64" s="144"/>
      <c r="B64" s="28"/>
      <c r="D64" s="28"/>
      <c r="F64" s="79"/>
      <c r="G64" s="80"/>
      <c r="H64" s="80"/>
      <c r="I64" s="80"/>
      <c r="J64" s="80"/>
      <c r="L64" s="82"/>
      <c r="P64" s="82"/>
      <c r="Q64" s="104"/>
      <c r="S64" s="83"/>
      <c r="T64" s="83"/>
      <c r="U64" s="83"/>
      <c r="AL64" s="28"/>
      <c r="BA64" s="89"/>
    </row>
    <row r="65" spans="1:53" x14ac:dyDescent="0.3">
      <c r="A65" s="144"/>
      <c r="B65" s="28"/>
      <c r="D65" s="28"/>
      <c r="J65" s="13"/>
      <c r="L65" s="82"/>
      <c r="P65" s="82"/>
      <c r="Q65" s="104"/>
      <c r="S65" s="83"/>
      <c r="T65" s="83"/>
      <c r="U65" s="83"/>
      <c r="V65" s="13"/>
      <c r="AL65" s="28"/>
      <c r="BA65" s="89"/>
    </row>
    <row r="66" spans="1:53" x14ac:dyDescent="0.3">
      <c r="A66" s="144"/>
      <c r="B66" s="28"/>
      <c r="D66" s="28"/>
      <c r="F66" s="79"/>
      <c r="L66" s="82"/>
      <c r="P66" s="82"/>
      <c r="Q66" s="104"/>
      <c r="S66" s="83"/>
      <c r="T66" s="83"/>
      <c r="U66" s="83"/>
      <c r="V66" s="13"/>
      <c r="AL66" s="28"/>
    </row>
    <row r="67" spans="1:53" x14ac:dyDescent="0.3">
      <c r="A67" s="144"/>
      <c r="B67" s="28"/>
      <c r="D67" s="28"/>
      <c r="F67" s="79"/>
      <c r="G67" s="80"/>
      <c r="H67" s="80"/>
      <c r="I67" s="80"/>
      <c r="L67" s="82"/>
      <c r="P67" s="82"/>
      <c r="Q67" s="104"/>
      <c r="S67" s="83"/>
      <c r="T67" s="83"/>
      <c r="U67" s="83"/>
      <c r="V67" s="13"/>
      <c r="AL67" s="28"/>
      <c r="BA67" s="89"/>
    </row>
    <row r="68" spans="1:53" x14ac:dyDescent="0.3">
      <c r="A68" s="144"/>
      <c r="B68" s="28"/>
      <c r="D68" s="28"/>
      <c r="F68" s="79"/>
      <c r="G68" s="80"/>
      <c r="H68" s="80"/>
      <c r="I68" s="80"/>
      <c r="J68" s="87"/>
      <c r="L68" s="82"/>
      <c r="P68" s="82"/>
      <c r="Q68" s="104"/>
      <c r="S68" s="83"/>
      <c r="T68" s="83"/>
      <c r="U68" s="83"/>
      <c r="AL68" s="28"/>
      <c r="BA68" s="89"/>
    </row>
    <row r="69" spans="1:53" x14ac:dyDescent="0.3">
      <c r="A69" s="144"/>
      <c r="B69" s="28"/>
      <c r="D69" s="28"/>
      <c r="F69" s="79"/>
      <c r="G69" s="80"/>
      <c r="H69" s="80"/>
      <c r="I69" s="80"/>
      <c r="J69" s="28"/>
      <c r="L69" s="82"/>
      <c r="P69" s="82"/>
      <c r="Q69" s="104"/>
      <c r="S69" s="83"/>
      <c r="T69" s="83"/>
      <c r="U69" s="83"/>
      <c r="AL69" s="28"/>
      <c r="BA69" s="89"/>
    </row>
    <row r="70" spans="1:53" x14ac:dyDescent="0.3">
      <c r="A70" s="144"/>
      <c r="B70" s="28"/>
      <c r="D70" s="28"/>
      <c r="F70" s="79"/>
      <c r="G70" s="80"/>
      <c r="H70" s="80"/>
      <c r="I70" s="80"/>
      <c r="L70" s="82"/>
      <c r="P70" s="82"/>
      <c r="Q70" s="104"/>
      <c r="S70" s="83"/>
      <c r="T70" s="83"/>
      <c r="U70" s="83"/>
      <c r="V70" s="13"/>
      <c r="AL70" s="28"/>
      <c r="BA70" s="89"/>
    </row>
    <row r="71" spans="1:53" x14ac:dyDescent="0.3">
      <c r="A71" s="144"/>
      <c r="B71" s="28"/>
      <c r="D71" s="28"/>
      <c r="F71" s="79"/>
      <c r="G71" s="80"/>
      <c r="H71" s="80"/>
      <c r="I71" s="80"/>
      <c r="J71" s="80"/>
      <c r="L71" s="82"/>
      <c r="P71" s="82"/>
      <c r="Q71" s="104"/>
      <c r="S71" s="83"/>
      <c r="T71" s="83"/>
      <c r="U71" s="83"/>
      <c r="AL71" s="28"/>
      <c r="BA71" s="89"/>
    </row>
    <row r="72" spans="1:53" x14ac:dyDescent="0.3">
      <c r="A72" s="144"/>
      <c r="B72" s="28"/>
      <c r="D72" s="28"/>
      <c r="F72" s="79"/>
      <c r="G72" s="80"/>
      <c r="H72" s="80"/>
      <c r="I72" s="80"/>
      <c r="J72" s="97"/>
      <c r="L72" s="82"/>
      <c r="P72" s="82"/>
      <c r="Q72" s="104"/>
      <c r="S72" s="83"/>
      <c r="T72" s="83"/>
      <c r="U72" s="83"/>
      <c r="V72" s="13"/>
      <c r="AL72" s="28"/>
      <c r="BA72" s="89"/>
    </row>
    <row r="73" spans="1:53" x14ac:dyDescent="0.3">
      <c r="A73" s="144"/>
      <c r="B73" s="28"/>
      <c r="D73" s="28"/>
      <c r="J73" s="13"/>
      <c r="L73" s="82"/>
      <c r="P73" s="82"/>
      <c r="Q73" s="104"/>
      <c r="S73" s="83"/>
      <c r="T73" s="83"/>
      <c r="U73" s="83"/>
      <c r="V73" s="13"/>
      <c r="AL73" s="28"/>
      <c r="BA73" s="89"/>
    </row>
    <row r="74" spans="1:53" x14ac:dyDescent="0.3">
      <c r="A74" s="144"/>
      <c r="B74" s="28"/>
      <c r="D74" s="28"/>
      <c r="F74" s="79"/>
      <c r="G74" s="106"/>
      <c r="H74" s="80"/>
      <c r="I74" s="80"/>
      <c r="J74" s="13"/>
      <c r="L74" s="82"/>
      <c r="P74" s="82"/>
      <c r="Q74" s="104"/>
      <c r="S74" s="83"/>
      <c r="T74" s="83"/>
      <c r="U74" s="83"/>
      <c r="V74" s="13"/>
      <c r="AL74" s="28"/>
      <c r="BA74" s="89"/>
    </row>
    <row r="75" spans="1:53" x14ac:dyDescent="0.3">
      <c r="A75" s="144"/>
      <c r="B75" s="28"/>
      <c r="D75" s="28"/>
      <c r="F75" s="79"/>
      <c r="G75" s="80"/>
      <c r="H75" s="80"/>
      <c r="I75" s="80"/>
      <c r="L75" s="82"/>
      <c r="P75" s="82"/>
      <c r="Q75" s="104"/>
      <c r="S75" s="83"/>
      <c r="T75" s="83"/>
      <c r="U75" s="83"/>
      <c r="AL75" s="28"/>
      <c r="BA75" s="89"/>
    </row>
    <row r="76" spans="1:53" x14ac:dyDescent="0.3">
      <c r="A76" s="144"/>
      <c r="B76" s="28"/>
      <c r="D76" s="28"/>
      <c r="F76" s="79"/>
      <c r="G76" s="80"/>
      <c r="H76" s="80"/>
      <c r="I76" s="80"/>
      <c r="J76" s="28"/>
      <c r="L76" s="82"/>
      <c r="P76" s="82"/>
      <c r="Q76" s="104"/>
      <c r="S76" s="83"/>
      <c r="T76" s="83"/>
      <c r="U76" s="83"/>
      <c r="AL76" s="28"/>
      <c r="BA76" s="89"/>
    </row>
    <row r="77" spans="1:53" x14ac:dyDescent="0.3">
      <c r="A77" s="144"/>
      <c r="B77" s="28"/>
      <c r="D77" s="28"/>
      <c r="F77" s="79"/>
      <c r="G77" s="80"/>
      <c r="H77" s="80"/>
      <c r="I77" s="80"/>
      <c r="L77" s="82"/>
      <c r="P77" s="82"/>
      <c r="Q77" s="104"/>
      <c r="S77" s="83"/>
      <c r="T77" s="83"/>
      <c r="U77" s="83"/>
      <c r="AL77" s="28"/>
      <c r="BA77" s="89"/>
    </row>
    <row r="78" spans="1:53" x14ac:dyDescent="0.3">
      <c r="A78" s="144"/>
      <c r="B78" s="28"/>
      <c r="D78" s="28"/>
      <c r="J78" s="13"/>
      <c r="L78" s="82"/>
      <c r="P78" s="82"/>
      <c r="Q78" s="104"/>
      <c r="S78" s="83"/>
      <c r="T78" s="83"/>
      <c r="U78" s="83"/>
      <c r="V78" s="13"/>
      <c r="AL78" s="28"/>
      <c r="BA78" s="89"/>
    </row>
    <row r="79" spans="1:53" x14ac:dyDescent="0.3">
      <c r="A79" s="144"/>
      <c r="B79" s="28"/>
      <c r="D79" s="28"/>
      <c r="F79" s="79"/>
      <c r="G79" s="80"/>
      <c r="H79" s="80"/>
      <c r="I79" s="80"/>
      <c r="J79" s="80"/>
      <c r="L79" s="82"/>
      <c r="P79" s="82"/>
      <c r="Q79" s="104"/>
      <c r="S79" s="83"/>
      <c r="T79" s="83"/>
      <c r="U79" s="83"/>
      <c r="AL79" s="28"/>
      <c r="BA79" s="89"/>
    </row>
    <row r="80" spans="1:53" x14ac:dyDescent="0.3">
      <c r="A80" s="144"/>
      <c r="B80" s="28"/>
      <c r="D80" s="28"/>
      <c r="F80" s="79"/>
      <c r="G80" s="80"/>
      <c r="H80" s="80"/>
      <c r="I80" s="80"/>
      <c r="J80" s="87"/>
      <c r="L80" s="82"/>
      <c r="P80" s="82"/>
      <c r="Q80" s="104"/>
      <c r="S80" s="83"/>
      <c r="T80" s="83"/>
      <c r="U80" s="83"/>
      <c r="V80" s="13"/>
      <c r="AL80" s="28"/>
      <c r="BA80" s="89"/>
    </row>
    <row r="81" spans="1:53" x14ac:dyDescent="0.3">
      <c r="A81" s="144"/>
      <c r="B81" s="28"/>
      <c r="D81" s="28"/>
      <c r="F81" s="79"/>
      <c r="L81" s="82"/>
      <c r="P81" s="82"/>
      <c r="Q81" s="104"/>
      <c r="S81" s="83"/>
      <c r="T81" s="83"/>
      <c r="U81" s="83"/>
      <c r="V81" s="13"/>
      <c r="AL81" s="28"/>
      <c r="BA81" s="89"/>
    </row>
    <row r="82" spans="1:53" x14ac:dyDescent="0.3">
      <c r="A82" s="144"/>
      <c r="B82" s="28"/>
      <c r="D82" s="28"/>
      <c r="G82" s="80"/>
      <c r="H82" s="80"/>
      <c r="I82" s="80"/>
      <c r="L82" s="82"/>
      <c r="P82" s="82"/>
      <c r="Q82" s="104"/>
      <c r="S82" s="83"/>
      <c r="T82" s="83"/>
      <c r="U82" s="83"/>
      <c r="V82" s="13"/>
      <c r="AL82" s="28"/>
      <c r="BA82" s="89"/>
    </row>
    <row r="83" spans="1:53" x14ac:dyDescent="0.3">
      <c r="A83" s="144"/>
      <c r="B83" s="28"/>
      <c r="D83" s="28"/>
      <c r="F83" s="79"/>
      <c r="G83" s="105"/>
      <c r="J83" s="123"/>
      <c r="L83" s="82"/>
      <c r="P83" s="82"/>
      <c r="Q83" s="104"/>
      <c r="S83" s="83"/>
      <c r="T83" s="83"/>
      <c r="U83" s="83"/>
      <c r="V83" s="13"/>
      <c r="AL83" s="28"/>
      <c r="BA83" s="89"/>
    </row>
    <row r="84" spans="1:53" x14ac:dyDescent="0.3">
      <c r="A84" s="144"/>
      <c r="B84" s="28"/>
      <c r="D84" s="28"/>
      <c r="F84" s="79"/>
      <c r="G84" s="80"/>
      <c r="H84" s="80"/>
      <c r="I84" s="80"/>
      <c r="J84" s="80"/>
      <c r="L84" s="82"/>
      <c r="P84" s="82"/>
      <c r="Q84" s="104"/>
      <c r="S84" s="83"/>
      <c r="T84" s="83"/>
      <c r="U84" s="83"/>
      <c r="V84" s="13"/>
      <c r="AL84" s="28"/>
      <c r="BA84" s="89"/>
    </row>
    <row r="85" spans="1:53" x14ac:dyDescent="0.3">
      <c r="A85" s="144"/>
      <c r="B85" s="28"/>
      <c r="D85" s="28"/>
      <c r="F85" s="79"/>
      <c r="G85" s="80"/>
      <c r="H85" s="80"/>
      <c r="I85" s="80"/>
      <c r="L85" s="82"/>
      <c r="P85" s="82"/>
      <c r="Q85" s="104"/>
      <c r="S85" s="83"/>
      <c r="T85" s="83"/>
      <c r="U85" s="83"/>
      <c r="V85" s="13"/>
      <c r="AL85" s="28"/>
      <c r="BA85" s="89"/>
    </row>
    <row r="86" spans="1:53" x14ac:dyDescent="0.3">
      <c r="A86" s="144"/>
      <c r="B86" s="28"/>
      <c r="D86" s="28"/>
      <c r="F86" s="79"/>
      <c r="J86" s="13"/>
      <c r="L86" s="82"/>
      <c r="P86" s="82"/>
      <c r="Q86" s="104"/>
      <c r="S86" s="83"/>
      <c r="T86" s="83"/>
      <c r="U86" s="83"/>
      <c r="V86" s="13"/>
      <c r="AL86" s="28"/>
      <c r="BA86" s="89"/>
    </row>
    <row r="87" spans="1:53" x14ac:dyDescent="0.3">
      <c r="A87" s="144"/>
      <c r="B87" s="28"/>
      <c r="D87" s="28"/>
      <c r="F87" s="79"/>
      <c r="G87" s="80"/>
      <c r="H87" s="80"/>
      <c r="I87" s="80"/>
      <c r="J87" s="87"/>
      <c r="L87" s="82"/>
      <c r="P87" s="82"/>
      <c r="Q87" s="104"/>
      <c r="S87" s="83"/>
      <c r="T87" s="83"/>
      <c r="U87" s="83"/>
      <c r="V87" s="13"/>
      <c r="AL87" s="28"/>
      <c r="BA87" s="89"/>
    </row>
    <row r="88" spans="1:53" x14ac:dyDescent="0.3">
      <c r="A88" s="144"/>
      <c r="B88" s="28"/>
      <c r="D88" s="28"/>
      <c r="F88" s="79"/>
      <c r="G88" s="105"/>
      <c r="J88" s="13"/>
      <c r="L88" s="82"/>
      <c r="P88" s="82"/>
      <c r="Q88" s="104"/>
      <c r="S88" s="83"/>
      <c r="T88" s="83"/>
      <c r="U88" s="83"/>
      <c r="V88" s="13"/>
      <c r="AL88" s="28"/>
      <c r="BA88" s="89"/>
    </row>
    <row r="89" spans="1:53" x14ac:dyDescent="0.3">
      <c r="A89" s="144"/>
      <c r="B89" s="28"/>
      <c r="D89" s="28"/>
      <c r="G89" s="80"/>
      <c r="H89" s="80"/>
      <c r="I89" s="80"/>
      <c r="J89" s="13"/>
      <c r="L89" s="82"/>
      <c r="P89" s="82"/>
      <c r="Q89" s="104"/>
      <c r="S89" s="83"/>
      <c r="T89" s="83"/>
      <c r="U89" s="83"/>
      <c r="V89" s="13"/>
      <c r="AL89" s="28"/>
      <c r="BA89" s="89"/>
    </row>
    <row r="90" spans="1:53" x14ac:dyDescent="0.3">
      <c r="A90" s="144"/>
      <c r="B90" s="28"/>
      <c r="D90" s="28"/>
      <c r="J90" s="13"/>
      <c r="V90" s="13"/>
      <c r="AL90" s="28"/>
      <c r="BA90" s="89"/>
    </row>
    <row r="91" spans="1:53" x14ac:dyDescent="0.3">
      <c r="A91" s="144"/>
      <c r="B91" s="28"/>
      <c r="D91" s="28"/>
      <c r="F91" s="79"/>
      <c r="G91" s="80"/>
      <c r="H91" s="80"/>
      <c r="I91" s="80"/>
      <c r="J91" s="87"/>
      <c r="L91" s="82"/>
      <c r="P91" s="82"/>
      <c r="Q91" s="104"/>
      <c r="S91" s="83"/>
      <c r="T91" s="83"/>
      <c r="U91" s="83"/>
      <c r="V91" s="13"/>
      <c r="AL91" s="28"/>
      <c r="BA91" s="89"/>
    </row>
    <row r="92" spans="1:53" x14ac:dyDescent="0.3">
      <c r="A92" s="144"/>
      <c r="B92" s="28"/>
      <c r="D92" s="28"/>
      <c r="F92" s="79"/>
      <c r="G92" s="80"/>
      <c r="H92" s="80"/>
      <c r="I92" s="80"/>
      <c r="J92" s="13"/>
      <c r="L92" s="82"/>
      <c r="P92" s="82"/>
      <c r="Q92" s="104"/>
      <c r="S92" s="83"/>
      <c r="T92" s="83"/>
      <c r="U92" s="83"/>
      <c r="V92" s="13"/>
      <c r="AL92" s="28"/>
      <c r="BA92" s="89"/>
    </row>
    <row r="93" spans="1:53" x14ac:dyDescent="0.3">
      <c r="A93" s="144"/>
      <c r="B93" s="28"/>
      <c r="D93" s="28"/>
      <c r="F93" s="79"/>
      <c r="G93" s="80"/>
      <c r="H93" s="80"/>
      <c r="I93" s="80"/>
      <c r="J93" s="80"/>
      <c r="L93" s="82"/>
      <c r="P93" s="82"/>
      <c r="Q93" s="104"/>
      <c r="S93" s="83"/>
      <c r="T93" s="83"/>
      <c r="U93" s="83"/>
      <c r="V93" s="13"/>
      <c r="AL93" s="28"/>
      <c r="BA93" s="89"/>
    </row>
    <row r="94" spans="1:53" x14ac:dyDescent="0.3">
      <c r="A94" s="144"/>
      <c r="B94" s="28"/>
      <c r="D94" s="28"/>
      <c r="F94" s="79"/>
      <c r="G94" s="80"/>
      <c r="H94" s="80"/>
      <c r="I94" s="80"/>
      <c r="J94" s="87"/>
      <c r="L94" s="82"/>
      <c r="P94" s="82"/>
      <c r="Q94" s="104"/>
      <c r="S94" s="83"/>
      <c r="T94" s="83"/>
      <c r="U94" s="83"/>
      <c r="V94" s="13"/>
      <c r="AL94" s="28"/>
    </row>
    <row r="95" spans="1:53" x14ac:dyDescent="0.3">
      <c r="A95" s="144"/>
      <c r="B95" s="28"/>
      <c r="D95" s="28"/>
      <c r="F95" s="79"/>
      <c r="G95" s="80"/>
      <c r="H95" s="80"/>
      <c r="I95" s="80"/>
      <c r="J95" s="28"/>
      <c r="L95" s="82"/>
      <c r="P95" s="82"/>
      <c r="Q95" s="104"/>
      <c r="S95" s="83"/>
      <c r="T95" s="83"/>
      <c r="U95" s="83"/>
      <c r="AL95" s="28"/>
    </row>
    <row r="96" spans="1:53" x14ac:dyDescent="0.3">
      <c r="A96" s="144"/>
      <c r="B96" s="28"/>
      <c r="D96" s="28"/>
      <c r="F96" s="79"/>
      <c r="G96" s="80"/>
      <c r="H96" s="80"/>
      <c r="I96" s="80"/>
      <c r="J96" s="28"/>
      <c r="L96" s="82"/>
      <c r="P96" s="82"/>
      <c r="Q96" s="104"/>
      <c r="S96" s="83"/>
      <c r="T96" s="83"/>
      <c r="U96" s="83"/>
      <c r="AL96" s="28"/>
    </row>
    <row r="97" spans="1:53" x14ac:dyDescent="0.3">
      <c r="A97" s="144"/>
      <c r="B97" s="28"/>
      <c r="D97" s="28"/>
      <c r="F97" s="79"/>
      <c r="G97" s="80"/>
      <c r="H97" s="80"/>
      <c r="I97" s="80"/>
      <c r="J97" s="28"/>
      <c r="L97" s="82"/>
      <c r="P97" s="82"/>
      <c r="Q97" s="104"/>
      <c r="S97" s="83"/>
      <c r="T97" s="83"/>
      <c r="U97" s="83"/>
      <c r="AL97" s="28"/>
    </row>
    <row r="98" spans="1:53" x14ac:dyDescent="0.3">
      <c r="A98" s="144"/>
      <c r="B98" s="28"/>
      <c r="D98" s="28"/>
      <c r="F98" s="79"/>
      <c r="G98" s="80"/>
      <c r="H98" s="80"/>
      <c r="I98" s="80"/>
      <c r="J98" s="28"/>
      <c r="L98" s="82"/>
      <c r="P98" s="82"/>
      <c r="Q98" s="104"/>
      <c r="S98" s="83"/>
      <c r="T98" s="83"/>
      <c r="U98" s="83"/>
      <c r="AL98" s="28"/>
    </row>
    <row r="99" spans="1:53" x14ac:dyDescent="0.3">
      <c r="A99" s="144"/>
      <c r="B99" s="28"/>
      <c r="D99" s="28"/>
      <c r="F99" s="79"/>
      <c r="G99" s="80"/>
      <c r="H99" s="80"/>
      <c r="I99" s="80"/>
      <c r="J99" s="28"/>
      <c r="L99" s="82"/>
      <c r="P99" s="82"/>
      <c r="Q99" s="104"/>
      <c r="S99" s="83"/>
      <c r="T99" s="83"/>
      <c r="U99" s="83"/>
      <c r="AL99" s="28"/>
    </row>
    <row r="100" spans="1:53" x14ac:dyDescent="0.3">
      <c r="A100" s="144"/>
      <c r="B100" s="28"/>
      <c r="D100" s="28"/>
      <c r="F100" s="79"/>
      <c r="G100" s="80"/>
      <c r="H100" s="80"/>
      <c r="I100" s="80"/>
      <c r="J100" s="28"/>
      <c r="L100" s="82"/>
      <c r="P100" s="82"/>
      <c r="Q100" s="104"/>
      <c r="S100" s="83"/>
      <c r="T100" s="83"/>
      <c r="U100" s="83"/>
      <c r="AL100" s="28"/>
    </row>
    <row r="101" spans="1:53" x14ac:dyDescent="0.3">
      <c r="A101" s="144"/>
      <c r="B101" s="28"/>
      <c r="D101" s="28"/>
      <c r="F101" s="79"/>
      <c r="G101" s="80"/>
      <c r="H101" s="80"/>
      <c r="I101" s="80"/>
      <c r="J101" s="28"/>
      <c r="L101" s="82"/>
      <c r="P101" s="82"/>
      <c r="Q101" s="104"/>
      <c r="S101" s="83"/>
      <c r="T101" s="83"/>
      <c r="U101" s="83"/>
      <c r="AL101" s="28"/>
    </row>
    <row r="102" spans="1:53" x14ac:dyDescent="0.3">
      <c r="A102" s="144"/>
      <c r="B102" s="28"/>
      <c r="D102" s="28"/>
      <c r="F102" s="79"/>
      <c r="G102" s="80"/>
      <c r="H102" s="80"/>
      <c r="I102" s="80"/>
      <c r="J102" s="28"/>
      <c r="L102" s="82"/>
      <c r="P102" s="82"/>
      <c r="Q102" s="104"/>
      <c r="S102" s="83"/>
      <c r="T102" s="83"/>
      <c r="U102" s="83"/>
      <c r="AL102" s="28"/>
    </row>
    <row r="103" spans="1:53" x14ac:dyDescent="0.3">
      <c r="A103" s="144"/>
      <c r="B103" s="28"/>
      <c r="D103" s="28"/>
      <c r="F103" s="79"/>
      <c r="G103" s="80"/>
      <c r="H103" s="80"/>
      <c r="I103" s="80"/>
      <c r="J103" s="28"/>
      <c r="L103" s="82"/>
      <c r="P103" s="82"/>
      <c r="Q103" s="104"/>
      <c r="S103" s="83"/>
      <c r="T103" s="83"/>
      <c r="U103" s="83"/>
      <c r="AL103" s="28"/>
    </row>
    <row r="104" spans="1:53" x14ac:dyDescent="0.3">
      <c r="A104" s="144"/>
      <c r="B104" s="28"/>
      <c r="D104" s="28"/>
      <c r="F104" s="79"/>
      <c r="G104" s="80"/>
      <c r="H104" s="80"/>
      <c r="I104" s="80"/>
      <c r="J104" s="28"/>
      <c r="L104" s="82"/>
      <c r="P104" s="82"/>
      <c r="Q104" s="104"/>
      <c r="S104" s="83"/>
      <c r="T104" s="83"/>
      <c r="U104" s="83"/>
      <c r="AL104" s="28"/>
    </row>
    <row r="105" spans="1:53" x14ac:dyDescent="0.3">
      <c r="A105" s="144"/>
      <c r="B105" s="28"/>
      <c r="D105" s="28"/>
      <c r="F105" s="79"/>
      <c r="G105" s="80"/>
      <c r="H105" s="80"/>
      <c r="I105" s="80"/>
      <c r="J105" s="28"/>
      <c r="L105" s="82"/>
      <c r="P105" s="82"/>
      <c r="Q105" s="104"/>
      <c r="S105" s="83"/>
      <c r="T105" s="83"/>
      <c r="U105" s="83"/>
      <c r="AL105" s="28"/>
    </row>
    <row r="106" spans="1:53" x14ac:dyDescent="0.3">
      <c r="A106" s="144"/>
      <c r="B106" s="28"/>
      <c r="D106" s="28"/>
      <c r="F106" s="79"/>
      <c r="G106" s="80"/>
      <c r="H106" s="80"/>
      <c r="I106" s="80"/>
      <c r="J106" s="28"/>
      <c r="L106" s="82"/>
      <c r="P106" s="82"/>
      <c r="Q106" s="104"/>
      <c r="S106" s="83"/>
      <c r="T106" s="83"/>
      <c r="U106" s="83"/>
      <c r="AL106" s="28"/>
    </row>
    <row r="107" spans="1:53" x14ac:dyDescent="0.3">
      <c r="A107" s="144"/>
      <c r="B107" s="28"/>
      <c r="D107" s="28"/>
      <c r="F107" s="79"/>
      <c r="G107" s="80"/>
      <c r="H107" s="80"/>
      <c r="I107" s="80"/>
      <c r="L107" s="82"/>
      <c r="P107" s="82"/>
      <c r="Q107" s="104"/>
      <c r="S107" s="83"/>
      <c r="T107" s="83"/>
      <c r="U107" s="83"/>
      <c r="AL107" s="28"/>
    </row>
    <row r="108" spans="1:53" x14ac:dyDescent="0.3">
      <c r="A108" s="144"/>
      <c r="B108" s="28"/>
      <c r="D108" s="28"/>
      <c r="L108" s="82"/>
      <c r="P108" s="82"/>
      <c r="Q108" s="104"/>
      <c r="S108" s="83"/>
      <c r="T108" s="83"/>
      <c r="U108" s="83"/>
      <c r="AL108" s="28"/>
      <c r="BA108" s="89"/>
    </row>
    <row r="109" spans="1:53" x14ac:dyDescent="0.3">
      <c r="A109" s="144"/>
      <c r="B109" s="28"/>
      <c r="D109" s="28"/>
      <c r="F109" s="79"/>
      <c r="L109" s="82"/>
      <c r="P109" s="82"/>
      <c r="Q109" s="104"/>
      <c r="S109" s="83"/>
      <c r="T109" s="83"/>
      <c r="U109" s="83"/>
      <c r="AL109" s="28"/>
      <c r="BA109" s="89"/>
    </row>
    <row r="110" spans="1:53" x14ac:dyDescent="0.3">
      <c r="A110" s="144"/>
      <c r="B110" s="28"/>
      <c r="D110" s="28"/>
      <c r="F110" s="79"/>
      <c r="G110" s="80"/>
      <c r="H110" s="80"/>
      <c r="I110" s="80"/>
      <c r="J110" s="80"/>
      <c r="L110" s="82"/>
      <c r="P110" s="82"/>
      <c r="Q110" s="104"/>
      <c r="S110" s="83"/>
      <c r="T110" s="83"/>
      <c r="U110" s="83"/>
      <c r="AL110" s="28"/>
    </row>
    <row r="111" spans="1:53" x14ac:dyDescent="0.3">
      <c r="A111" s="144"/>
      <c r="B111" s="28"/>
      <c r="D111" s="28"/>
      <c r="G111" s="80"/>
      <c r="H111" s="80"/>
      <c r="I111" s="80"/>
      <c r="J111" s="96"/>
      <c r="Q111" s="104"/>
      <c r="AL111" s="28"/>
      <c r="BA111" s="89"/>
    </row>
    <row r="112" spans="1:53" x14ac:dyDescent="0.3">
      <c r="A112" s="144"/>
      <c r="B112" s="28"/>
      <c r="D112" s="28"/>
      <c r="F112" s="79"/>
      <c r="G112" s="80"/>
      <c r="H112" s="80"/>
      <c r="I112" s="80"/>
      <c r="J112" s="96"/>
      <c r="AL112" s="28"/>
      <c r="BA112" s="89"/>
    </row>
    <row r="113" spans="1:56" x14ac:dyDescent="0.3">
      <c r="A113" s="144"/>
      <c r="B113" s="28"/>
      <c r="D113" s="28"/>
      <c r="G113" s="80"/>
      <c r="H113" s="80"/>
      <c r="I113" s="80"/>
      <c r="J113" s="80"/>
      <c r="Q113" s="104"/>
      <c r="AL113" s="28"/>
    </row>
    <row r="114" spans="1:56" x14ac:dyDescent="0.3">
      <c r="A114" s="144"/>
      <c r="B114" s="28"/>
      <c r="D114" s="28"/>
      <c r="F114" s="79"/>
      <c r="G114" s="80"/>
      <c r="H114" s="80"/>
      <c r="I114" s="80"/>
      <c r="J114" s="87"/>
      <c r="Q114" s="104"/>
      <c r="AL114" s="28"/>
    </row>
    <row r="115" spans="1:56" x14ac:dyDescent="0.3">
      <c r="A115" s="144"/>
      <c r="B115" s="28"/>
      <c r="D115" s="28"/>
      <c r="F115" s="79"/>
      <c r="G115" s="80"/>
      <c r="H115" s="80"/>
      <c r="I115" s="80"/>
      <c r="J115" s="87"/>
      <c r="L115" s="82"/>
      <c r="P115" s="82"/>
      <c r="Q115" s="104"/>
      <c r="S115" s="83"/>
      <c r="T115" s="83"/>
      <c r="U115" s="83"/>
      <c r="AL115" s="28"/>
      <c r="BA115" s="89"/>
    </row>
    <row r="116" spans="1:56" x14ac:dyDescent="0.3">
      <c r="A116" s="144"/>
      <c r="B116" s="28"/>
      <c r="D116" s="28"/>
      <c r="F116" s="79"/>
      <c r="J116" s="87"/>
      <c r="L116" s="82"/>
      <c r="P116" s="82"/>
      <c r="Q116" s="104"/>
      <c r="S116" s="83"/>
      <c r="T116" s="83"/>
      <c r="U116" s="83"/>
      <c r="AL116" s="28"/>
    </row>
    <row r="117" spans="1:56" x14ac:dyDescent="0.3">
      <c r="A117" s="144"/>
      <c r="B117" s="28"/>
      <c r="D117" s="28"/>
      <c r="J117" s="28"/>
      <c r="L117" s="82"/>
      <c r="P117" s="82"/>
      <c r="Q117" s="104"/>
      <c r="S117" s="83"/>
      <c r="T117" s="83"/>
      <c r="U117" s="83"/>
      <c r="AL117" s="28"/>
      <c r="BA117" s="89"/>
    </row>
    <row r="118" spans="1:56" s="46" customFormat="1" ht="6.75" customHeight="1" x14ac:dyDescent="0.3">
      <c r="B118" s="73"/>
      <c r="C118" s="73"/>
      <c r="D118" s="73"/>
      <c r="E118" s="73"/>
      <c r="F118" s="74"/>
      <c r="L118" s="100"/>
      <c r="M118" s="76"/>
      <c r="N118" s="77"/>
      <c r="P118" s="100"/>
      <c r="Q118" s="143"/>
      <c r="S118" s="101"/>
      <c r="T118" s="101"/>
      <c r="U118" s="101"/>
      <c r="AL118" s="73"/>
      <c r="AP118" s="109"/>
      <c r="AQ118" s="109"/>
      <c r="BD118" s="29"/>
    </row>
    <row r="119" spans="1:56" x14ac:dyDescent="0.3">
      <c r="A119" s="144" t="s">
        <v>33</v>
      </c>
      <c r="B119" s="28"/>
      <c r="D119" s="28"/>
      <c r="F119" s="79"/>
      <c r="L119" s="82"/>
      <c r="P119" s="82"/>
      <c r="Q119" s="104"/>
      <c r="S119" s="83"/>
      <c r="T119" s="83"/>
      <c r="U119" s="83"/>
      <c r="V119" s="13"/>
      <c r="AL119" s="28"/>
      <c r="BA119" s="89"/>
    </row>
    <row r="120" spans="1:56" x14ac:dyDescent="0.3">
      <c r="A120" s="144"/>
      <c r="B120" s="28"/>
      <c r="D120" s="28"/>
      <c r="F120" s="79"/>
      <c r="G120" s="80"/>
      <c r="H120" s="80"/>
      <c r="I120" s="80"/>
      <c r="J120" s="80"/>
      <c r="Q120" s="108"/>
      <c r="V120" s="13"/>
      <c r="AL120" s="28"/>
      <c r="BA120" s="89"/>
    </row>
    <row r="121" spans="1:56" x14ac:dyDescent="0.3">
      <c r="A121" s="144"/>
      <c r="B121" s="28"/>
      <c r="D121" s="28"/>
      <c r="F121" s="79"/>
      <c r="G121" s="80"/>
      <c r="H121" s="80"/>
      <c r="I121" s="80"/>
      <c r="J121" s="87"/>
      <c r="Q121" s="108"/>
      <c r="V121" s="13"/>
      <c r="AL121" s="28"/>
      <c r="BA121" s="89"/>
    </row>
    <row r="122" spans="1:56" x14ac:dyDescent="0.3">
      <c r="A122" s="144"/>
      <c r="B122" s="28"/>
      <c r="D122" s="28"/>
      <c r="F122" s="79"/>
      <c r="G122" s="80"/>
      <c r="H122" s="80"/>
      <c r="I122" s="80"/>
      <c r="J122" s="87"/>
      <c r="L122" s="82"/>
      <c r="P122" s="82"/>
      <c r="Q122" s="108"/>
      <c r="S122" s="83"/>
      <c r="T122" s="83"/>
      <c r="U122" s="83"/>
      <c r="V122" s="13"/>
      <c r="AL122" s="28"/>
      <c r="BA122" s="89"/>
    </row>
    <row r="123" spans="1:56" x14ac:dyDescent="0.3">
      <c r="A123" s="144"/>
      <c r="B123" s="28"/>
      <c r="D123" s="28"/>
      <c r="J123" s="87"/>
      <c r="V123" s="13"/>
      <c r="AL123" s="28"/>
      <c r="BA123" s="89"/>
    </row>
    <row r="124" spans="1:56" x14ac:dyDescent="0.3">
      <c r="A124" s="144"/>
      <c r="B124" s="28"/>
      <c r="D124" s="28"/>
      <c r="J124" s="97"/>
      <c r="V124" s="13"/>
      <c r="AL124" s="28"/>
      <c r="BA124" s="89"/>
    </row>
    <row r="125" spans="1:56" x14ac:dyDescent="0.3">
      <c r="A125" s="144"/>
      <c r="B125" s="28"/>
      <c r="D125" s="28"/>
      <c r="F125" s="79"/>
      <c r="V125" s="13"/>
      <c r="AL125" s="28"/>
      <c r="BA125" s="89"/>
    </row>
    <row r="126" spans="1:56" x14ac:dyDescent="0.3">
      <c r="A126" s="144"/>
      <c r="B126" s="28"/>
      <c r="D126" s="28"/>
      <c r="F126" s="79"/>
      <c r="G126" s="80"/>
      <c r="H126" s="80"/>
      <c r="I126" s="80"/>
      <c r="J126" s="80"/>
      <c r="Q126" s="108"/>
      <c r="V126" s="13"/>
      <c r="AL126" s="28"/>
      <c r="BA126" s="89"/>
    </row>
    <row r="127" spans="1:56" x14ac:dyDescent="0.3">
      <c r="A127" s="144"/>
      <c r="B127" s="28"/>
      <c r="D127" s="28"/>
      <c r="F127" s="79"/>
      <c r="G127" s="80"/>
      <c r="H127" s="80"/>
      <c r="I127" s="80"/>
      <c r="J127" s="80"/>
      <c r="Q127" s="108"/>
      <c r="V127" s="13"/>
      <c r="AL127" s="28"/>
      <c r="BA127" s="89"/>
    </row>
    <row r="128" spans="1:56" x14ac:dyDescent="0.3">
      <c r="A128" s="144"/>
      <c r="B128" s="28"/>
      <c r="D128" s="28"/>
      <c r="F128" s="79"/>
      <c r="G128" s="80"/>
      <c r="H128" s="80"/>
      <c r="I128" s="80"/>
      <c r="J128" s="87"/>
      <c r="Q128" s="104"/>
      <c r="V128" s="13"/>
      <c r="AL128" s="28"/>
      <c r="BA128" s="89"/>
    </row>
    <row r="129" spans="1:53" x14ac:dyDescent="0.3">
      <c r="A129" s="144"/>
      <c r="B129" s="28"/>
      <c r="D129" s="28"/>
      <c r="F129" s="79"/>
      <c r="G129" s="80"/>
      <c r="H129" s="80"/>
      <c r="I129" s="80"/>
      <c r="J129" s="80"/>
      <c r="Q129" s="108"/>
      <c r="V129" s="13"/>
      <c r="AL129" s="28"/>
      <c r="BA129" s="89"/>
    </row>
    <row r="130" spans="1:53" x14ac:dyDescent="0.3">
      <c r="A130" s="144"/>
      <c r="B130" s="28"/>
      <c r="D130" s="28"/>
      <c r="F130" s="79"/>
      <c r="G130" s="80"/>
      <c r="H130" s="80"/>
      <c r="I130" s="80"/>
      <c r="J130" s="80"/>
      <c r="Q130" s="108"/>
      <c r="V130" s="13"/>
      <c r="AL130" s="28"/>
      <c r="BA130" s="89"/>
    </row>
    <row r="131" spans="1:53" x14ac:dyDescent="0.3">
      <c r="A131" s="144"/>
      <c r="B131" s="28"/>
      <c r="D131" s="28"/>
      <c r="F131" s="79"/>
      <c r="J131" s="28"/>
      <c r="Q131" s="104"/>
      <c r="V131" s="13"/>
      <c r="AL131" s="28"/>
      <c r="BA131" s="89"/>
    </row>
    <row r="132" spans="1:53" x14ac:dyDescent="0.3">
      <c r="A132" s="144"/>
      <c r="B132" s="28"/>
      <c r="D132" s="28"/>
      <c r="F132" s="79"/>
      <c r="V132" s="13"/>
      <c r="AL132" s="28"/>
      <c r="BA132" s="89"/>
    </row>
    <row r="133" spans="1:53" x14ac:dyDescent="0.3">
      <c r="A133" s="144"/>
      <c r="B133" s="28"/>
      <c r="D133" s="28"/>
      <c r="F133" s="79"/>
      <c r="G133" s="80"/>
      <c r="H133" s="80"/>
      <c r="I133" s="80"/>
      <c r="J133" s="87"/>
      <c r="Q133" s="104"/>
      <c r="V133" s="13"/>
      <c r="AL133" s="28"/>
      <c r="BA133" s="89"/>
    </row>
    <row r="134" spans="1:53" x14ac:dyDescent="0.3">
      <c r="A134" s="144"/>
      <c r="B134" s="28"/>
      <c r="D134" s="28"/>
      <c r="F134" s="79"/>
      <c r="G134" s="80"/>
      <c r="H134" s="80"/>
      <c r="I134" s="80"/>
      <c r="J134" s="80"/>
      <c r="Q134" s="108"/>
      <c r="V134" s="13"/>
      <c r="AL134" s="28"/>
      <c r="BA134" s="89"/>
    </row>
    <row r="135" spans="1:53" x14ac:dyDescent="0.3">
      <c r="A135" s="144"/>
      <c r="B135" s="28"/>
      <c r="D135" s="28"/>
      <c r="F135" s="79"/>
      <c r="G135" s="80"/>
      <c r="H135" s="80"/>
      <c r="I135" s="80"/>
      <c r="J135" s="80"/>
      <c r="Q135" s="108"/>
      <c r="V135" s="13"/>
      <c r="AL135" s="28"/>
      <c r="BA135" s="89"/>
    </row>
    <row r="136" spans="1:53" x14ac:dyDescent="0.3">
      <c r="A136" s="144"/>
      <c r="B136" s="28"/>
      <c r="D136" s="28"/>
      <c r="G136" s="80"/>
      <c r="H136" s="80"/>
      <c r="I136" s="80"/>
      <c r="J136" s="80"/>
      <c r="Q136" s="104"/>
      <c r="V136" s="13"/>
      <c r="AL136" s="28"/>
      <c r="BA136" s="89"/>
    </row>
    <row r="137" spans="1:53" x14ac:dyDescent="0.3">
      <c r="A137" s="144"/>
      <c r="B137" s="28"/>
      <c r="D137" s="28"/>
      <c r="J137" s="87"/>
      <c r="V137" s="13"/>
      <c r="AL137" s="28"/>
      <c r="BA137" s="89"/>
    </row>
    <row r="138" spans="1:53" x14ac:dyDescent="0.3">
      <c r="A138" s="144"/>
      <c r="B138" s="28"/>
      <c r="D138" s="28"/>
      <c r="J138" s="87"/>
      <c r="V138" s="13"/>
      <c r="AL138" s="28"/>
      <c r="BA138" s="89"/>
    </row>
    <row r="139" spans="1:53" x14ac:dyDescent="0.3">
      <c r="A139" s="144"/>
      <c r="B139" s="28"/>
      <c r="D139" s="28"/>
      <c r="F139" s="79"/>
      <c r="G139" s="80"/>
      <c r="H139" s="80"/>
      <c r="I139" s="80"/>
      <c r="J139" s="80"/>
      <c r="Q139" s="108"/>
      <c r="V139" s="13"/>
      <c r="AL139" s="28"/>
      <c r="BA139" s="89"/>
    </row>
    <row r="140" spans="1:53" x14ac:dyDescent="0.3">
      <c r="A140" s="144"/>
      <c r="B140" s="28"/>
      <c r="D140" s="28"/>
      <c r="F140" s="79"/>
      <c r="G140" s="80"/>
      <c r="H140" s="80"/>
      <c r="I140" s="80"/>
      <c r="J140" s="80"/>
      <c r="Q140" s="108"/>
      <c r="V140" s="13"/>
      <c r="AL140" s="28"/>
    </row>
    <row r="141" spans="1:53" x14ac:dyDescent="0.3">
      <c r="A141" s="144"/>
      <c r="B141" s="28"/>
      <c r="D141" s="28"/>
      <c r="F141" s="79"/>
      <c r="G141" s="80"/>
      <c r="H141" s="80"/>
      <c r="I141" s="80"/>
      <c r="J141" s="88"/>
      <c r="Q141" s="104"/>
      <c r="V141" s="13"/>
      <c r="AL141" s="28"/>
      <c r="BA141" s="89"/>
    </row>
    <row r="142" spans="1:53" x14ac:dyDescent="0.3">
      <c r="A142" s="144"/>
      <c r="B142" s="28"/>
      <c r="D142" s="28"/>
      <c r="F142" s="79"/>
      <c r="G142" s="80"/>
      <c r="H142" s="80"/>
      <c r="I142" s="80"/>
      <c r="J142" s="80"/>
      <c r="Q142" s="108"/>
      <c r="V142" s="13"/>
      <c r="AL142" s="28"/>
      <c r="BA142" s="89"/>
    </row>
    <row r="143" spans="1:53" x14ac:dyDescent="0.3">
      <c r="A143" s="144"/>
      <c r="B143" s="28"/>
      <c r="D143" s="28"/>
      <c r="F143" s="79"/>
      <c r="G143" s="80"/>
      <c r="H143" s="80"/>
      <c r="I143" s="80"/>
      <c r="J143" s="80"/>
      <c r="Q143" s="104"/>
      <c r="AL143" s="28"/>
      <c r="BA143" s="89"/>
    </row>
    <row r="144" spans="1:53" x14ac:dyDescent="0.3">
      <c r="A144" s="144"/>
      <c r="B144" s="28"/>
      <c r="D144" s="28"/>
      <c r="F144" s="79"/>
      <c r="J144" s="13"/>
      <c r="Q144" s="107"/>
      <c r="V144" s="13"/>
      <c r="AL144" s="28"/>
      <c r="BA144" s="89"/>
    </row>
    <row r="145" spans="1:53" x14ac:dyDescent="0.3">
      <c r="A145" s="144"/>
      <c r="B145" s="28"/>
      <c r="D145" s="28"/>
      <c r="F145" s="79"/>
      <c r="V145" s="13"/>
      <c r="AL145" s="28"/>
      <c r="BA145" s="89"/>
    </row>
    <row r="146" spans="1:53" x14ac:dyDescent="0.3">
      <c r="A146" s="144"/>
      <c r="B146" s="28"/>
      <c r="D146" s="28"/>
      <c r="F146" s="79"/>
      <c r="G146" s="80"/>
      <c r="H146" s="80"/>
      <c r="I146" s="80"/>
      <c r="J146" s="87"/>
      <c r="Q146" s="108"/>
      <c r="V146" s="13"/>
      <c r="AL146" s="28"/>
      <c r="BA146" s="89"/>
    </row>
    <row r="147" spans="1:53" x14ac:dyDescent="0.3">
      <c r="A147" s="144"/>
      <c r="B147" s="28"/>
      <c r="D147" s="28"/>
      <c r="F147" s="79"/>
      <c r="G147" s="80"/>
      <c r="H147" s="80"/>
      <c r="I147" s="80"/>
      <c r="J147" s="80"/>
      <c r="Q147" s="108"/>
      <c r="V147" s="13"/>
      <c r="AL147" s="28"/>
      <c r="BA147" s="89"/>
    </row>
    <row r="148" spans="1:53" x14ac:dyDescent="0.3">
      <c r="A148" s="144"/>
      <c r="B148" s="28"/>
      <c r="D148" s="28"/>
      <c r="F148" s="79"/>
      <c r="AL148" s="28"/>
      <c r="BA148" s="89"/>
    </row>
    <row r="149" spans="1:53" x14ac:dyDescent="0.3">
      <c r="A149" s="144"/>
      <c r="B149" s="28"/>
      <c r="D149" s="28"/>
      <c r="F149" s="79"/>
      <c r="V149" s="13"/>
      <c r="AL149" s="28"/>
      <c r="BA149" s="89"/>
    </row>
    <row r="150" spans="1:53" x14ac:dyDescent="0.3">
      <c r="A150" s="144"/>
      <c r="B150" s="28"/>
      <c r="D150" s="28"/>
      <c r="J150" s="96"/>
      <c r="Q150" s="107"/>
      <c r="V150" s="13"/>
      <c r="AL150" s="28"/>
      <c r="BA150" s="89"/>
    </row>
    <row r="151" spans="1:53" x14ac:dyDescent="0.3">
      <c r="A151" s="144"/>
      <c r="B151" s="28"/>
      <c r="D151" s="28"/>
      <c r="F151" s="79"/>
      <c r="G151" s="80"/>
      <c r="H151" s="80"/>
      <c r="I151" s="80"/>
      <c r="J151" s="80"/>
      <c r="Q151" s="108"/>
      <c r="V151" s="13"/>
      <c r="AL151" s="28"/>
      <c r="BA151" s="89"/>
    </row>
    <row r="152" spans="1:53" x14ac:dyDescent="0.3">
      <c r="A152" s="144"/>
      <c r="B152" s="28"/>
      <c r="D152" s="28"/>
      <c r="F152" s="79"/>
      <c r="G152" s="80"/>
      <c r="H152" s="80"/>
      <c r="I152" s="80"/>
      <c r="J152" s="87"/>
      <c r="Q152" s="104"/>
      <c r="V152" s="13"/>
      <c r="AL152" s="28"/>
      <c r="BA152" s="89"/>
    </row>
    <row r="153" spans="1:53" x14ac:dyDescent="0.3">
      <c r="A153" s="144"/>
      <c r="B153" s="28"/>
      <c r="D153" s="28"/>
      <c r="F153" s="79"/>
      <c r="V153" s="13"/>
      <c r="AL153" s="28"/>
      <c r="BA153" s="89"/>
    </row>
    <row r="154" spans="1:53" x14ac:dyDescent="0.3">
      <c r="A154" s="144"/>
      <c r="B154" s="28"/>
      <c r="D154" s="28"/>
      <c r="F154" s="79"/>
      <c r="G154" s="80"/>
      <c r="H154" s="80"/>
      <c r="I154" s="80"/>
      <c r="J154" s="88"/>
      <c r="Q154" s="108"/>
      <c r="V154" s="13"/>
      <c r="AL154" s="28"/>
      <c r="BA154" s="89"/>
    </row>
    <row r="155" spans="1:53" x14ac:dyDescent="0.3">
      <c r="A155" s="144"/>
      <c r="B155" s="28"/>
      <c r="D155" s="28"/>
      <c r="V155" s="13"/>
      <c r="AL155" s="28"/>
      <c r="BA155" s="89"/>
    </row>
    <row r="156" spans="1:53" x14ac:dyDescent="0.3">
      <c r="A156" s="144"/>
      <c r="B156" s="28"/>
      <c r="D156" s="28"/>
      <c r="F156" s="79"/>
      <c r="G156" s="80"/>
      <c r="H156" s="80"/>
      <c r="I156" s="80"/>
      <c r="J156" s="88"/>
      <c r="Q156" s="108"/>
      <c r="V156" s="13"/>
      <c r="AL156" s="28"/>
    </row>
    <row r="157" spans="1:53" x14ac:dyDescent="0.3">
      <c r="A157" s="144"/>
      <c r="B157" s="28"/>
      <c r="D157" s="28"/>
      <c r="F157" s="79"/>
      <c r="G157" s="80"/>
      <c r="H157" s="80"/>
      <c r="I157" s="80"/>
      <c r="J157" s="88"/>
      <c r="Q157" s="108"/>
      <c r="V157" s="13"/>
      <c r="AL157" s="28"/>
      <c r="BA157" s="89"/>
    </row>
    <row r="158" spans="1:53" x14ac:dyDescent="0.3">
      <c r="A158" s="144"/>
      <c r="B158" s="28"/>
      <c r="D158" s="28"/>
      <c r="J158" s="13"/>
      <c r="V158" s="13"/>
      <c r="AL158" s="28"/>
      <c r="BA158" s="89"/>
    </row>
    <row r="159" spans="1:53" x14ac:dyDescent="0.3">
      <c r="A159" s="144"/>
      <c r="B159" s="28"/>
      <c r="D159" s="28"/>
      <c r="F159" s="79"/>
      <c r="G159" s="80"/>
      <c r="H159" s="80"/>
      <c r="I159" s="80"/>
      <c r="J159" s="80"/>
      <c r="Q159" s="108"/>
      <c r="V159" s="13"/>
      <c r="AL159" s="28"/>
      <c r="BA159" s="89"/>
    </row>
    <row r="160" spans="1:53" x14ac:dyDescent="0.3">
      <c r="A160" s="144"/>
      <c r="B160" s="28"/>
      <c r="D160" s="28"/>
      <c r="J160" s="13"/>
      <c r="L160" s="82"/>
      <c r="P160" s="82"/>
      <c r="Q160" s="104"/>
      <c r="S160" s="83"/>
      <c r="T160" s="83"/>
      <c r="U160" s="83"/>
      <c r="V160" s="13"/>
      <c r="AL160" s="28"/>
      <c r="BA160" s="89"/>
    </row>
    <row r="161" spans="1:53" x14ac:dyDescent="0.3">
      <c r="A161" s="144"/>
      <c r="B161" s="28"/>
      <c r="D161" s="28"/>
      <c r="G161" s="80"/>
      <c r="H161" s="80"/>
      <c r="I161" s="80"/>
      <c r="J161" s="96"/>
      <c r="Q161" s="104"/>
      <c r="V161" s="13"/>
      <c r="AL161" s="28"/>
      <c r="BA161" s="89"/>
    </row>
    <row r="162" spans="1:53" x14ac:dyDescent="0.3">
      <c r="A162" s="144"/>
      <c r="B162" s="28"/>
      <c r="D162" s="28"/>
      <c r="F162" s="79"/>
      <c r="G162" s="80"/>
      <c r="H162" s="80"/>
      <c r="I162" s="80"/>
      <c r="J162" s="87"/>
      <c r="Q162" s="104"/>
      <c r="V162" s="13"/>
      <c r="AL162" s="28"/>
      <c r="BA162" s="89"/>
    </row>
    <row r="163" spans="1:53" x14ac:dyDescent="0.3">
      <c r="A163" s="144"/>
      <c r="B163" s="28"/>
      <c r="D163" s="28"/>
      <c r="F163" s="79"/>
      <c r="V163" s="13"/>
      <c r="AL163" s="28"/>
      <c r="BA163" s="89"/>
    </row>
    <row r="164" spans="1:53" x14ac:dyDescent="0.3">
      <c r="A164" s="144"/>
      <c r="B164" s="28"/>
      <c r="D164" s="28"/>
      <c r="F164" s="79"/>
      <c r="G164" s="80"/>
      <c r="H164" s="80"/>
      <c r="I164" s="80"/>
      <c r="J164" s="87"/>
      <c r="Q164" s="104"/>
      <c r="AL164" s="28"/>
      <c r="BA164" s="89"/>
    </row>
    <row r="165" spans="1:53" x14ac:dyDescent="0.3">
      <c r="A165" s="144"/>
      <c r="B165" s="28"/>
      <c r="D165" s="28"/>
      <c r="F165" s="79"/>
      <c r="G165" s="80"/>
      <c r="H165" s="80"/>
      <c r="I165" s="80"/>
      <c r="J165" s="88"/>
      <c r="Q165" s="104"/>
      <c r="AL165" s="28"/>
    </row>
    <row r="166" spans="1:53" x14ac:dyDescent="0.3">
      <c r="A166" s="144"/>
      <c r="B166" s="28"/>
      <c r="D166" s="28"/>
      <c r="F166" s="79"/>
      <c r="G166" s="80"/>
      <c r="H166" s="80"/>
      <c r="I166" s="80"/>
      <c r="J166" s="88"/>
      <c r="Q166" s="104"/>
      <c r="AL166" s="28"/>
      <c r="BA166" s="89"/>
    </row>
    <row r="167" spans="1:53" x14ac:dyDescent="0.3">
      <c r="A167" s="144"/>
      <c r="B167" s="28"/>
      <c r="D167" s="28"/>
      <c r="F167" s="79"/>
      <c r="G167" s="80"/>
      <c r="H167" s="80"/>
      <c r="I167" s="80"/>
      <c r="J167" s="87"/>
      <c r="Q167" s="104"/>
      <c r="V167" s="13"/>
      <c r="AL167" s="28"/>
      <c r="BA167" s="89"/>
    </row>
    <row r="168" spans="1:53" x14ac:dyDescent="0.3">
      <c r="A168" s="144"/>
      <c r="B168" s="28"/>
      <c r="D168" s="28"/>
      <c r="F168" s="79"/>
      <c r="AL168" s="28"/>
      <c r="BA168" s="89"/>
    </row>
    <row r="169" spans="1:53" x14ac:dyDescent="0.3">
      <c r="A169" s="144"/>
      <c r="B169" s="28"/>
      <c r="D169" s="28"/>
      <c r="F169" s="79"/>
      <c r="G169" s="80"/>
      <c r="H169" s="80"/>
      <c r="I169" s="80"/>
      <c r="J169" s="96"/>
      <c r="Q169" s="104"/>
      <c r="V169" s="13"/>
      <c r="AL169" s="28"/>
      <c r="BA169" s="89"/>
    </row>
    <row r="170" spans="1:53" x14ac:dyDescent="0.3">
      <c r="A170" s="144"/>
      <c r="B170" s="28"/>
      <c r="D170" s="28"/>
      <c r="G170" s="80"/>
      <c r="H170" s="80"/>
      <c r="I170" s="80"/>
      <c r="J170" s="80"/>
      <c r="Q170" s="104"/>
      <c r="V170" s="13"/>
      <c r="AL170" s="28"/>
      <c r="BA170" s="89"/>
    </row>
    <row r="171" spans="1:53" x14ac:dyDescent="0.3">
      <c r="A171" s="144"/>
      <c r="B171" s="28"/>
      <c r="D171" s="28"/>
      <c r="J171" s="13"/>
      <c r="Q171" s="107"/>
      <c r="V171" s="13"/>
      <c r="AL171" s="28"/>
      <c r="BA171" s="89"/>
    </row>
    <row r="172" spans="1:53" x14ac:dyDescent="0.3">
      <c r="A172" s="144"/>
      <c r="B172" s="28"/>
      <c r="D172" s="28"/>
      <c r="F172" s="79"/>
      <c r="G172" s="80"/>
      <c r="H172" s="80"/>
      <c r="I172" s="80"/>
      <c r="J172" s="80"/>
      <c r="Q172" s="104"/>
      <c r="AL172" s="28"/>
      <c r="BA172" s="89"/>
    </row>
    <row r="173" spans="1:53" x14ac:dyDescent="0.3">
      <c r="A173" s="144"/>
      <c r="B173" s="28"/>
      <c r="D173" s="28"/>
      <c r="F173" s="79"/>
      <c r="J173" s="13"/>
      <c r="Q173" s="107"/>
      <c r="V173" s="13"/>
      <c r="AL173" s="28"/>
      <c r="BA173" s="89"/>
    </row>
    <row r="174" spans="1:53" x14ac:dyDescent="0.3">
      <c r="A174" s="144"/>
      <c r="B174" s="28"/>
      <c r="D174" s="28"/>
      <c r="F174" s="79"/>
      <c r="J174" s="28"/>
      <c r="V174" s="13"/>
      <c r="AL174" s="28"/>
      <c r="BA174" s="89"/>
    </row>
    <row r="175" spans="1:53" x14ac:dyDescent="0.3">
      <c r="A175" s="144"/>
      <c r="B175" s="28"/>
      <c r="D175" s="28"/>
      <c r="F175" s="79"/>
      <c r="G175" s="80"/>
      <c r="H175" s="80"/>
      <c r="I175" s="80"/>
      <c r="J175" s="88"/>
      <c r="Q175" s="104"/>
      <c r="V175" s="13"/>
      <c r="AL175" s="28"/>
      <c r="BA175" s="89"/>
    </row>
    <row r="176" spans="1:53" x14ac:dyDescent="0.3">
      <c r="A176" s="144"/>
      <c r="B176" s="28"/>
      <c r="D176" s="28"/>
      <c r="J176" s="28"/>
      <c r="V176" s="13"/>
      <c r="AL176" s="28"/>
      <c r="BA176" s="89"/>
    </row>
    <row r="177" spans="1:53" x14ac:dyDescent="0.3">
      <c r="A177" s="144"/>
      <c r="B177" s="28"/>
      <c r="D177" s="28"/>
      <c r="V177" s="13"/>
      <c r="AL177" s="28"/>
      <c r="BA177" s="89"/>
    </row>
    <row r="178" spans="1:53" x14ac:dyDescent="0.3">
      <c r="A178" s="144"/>
      <c r="B178" s="28"/>
      <c r="D178" s="28"/>
      <c r="G178" s="80"/>
      <c r="H178" s="80"/>
      <c r="I178" s="80"/>
      <c r="J178" s="87"/>
      <c r="Q178" s="108"/>
      <c r="AL178" s="28"/>
      <c r="BA178" s="89"/>
    </row>
    <row r="179" spans="1:53" x14ac:dyDescent="0.3">
      <c r="A179" s="144"/>
      <c r="B179" s="28"/>
      <c r="D179" s="28"/>
      <c r="F179" s="79"/>
      <c r="AL179" s="28"/>
      <c r="BA179" s="89"/>
    </row>
    <row r="180" spans="1:53" x14ac:dyDescent="0.3">
      <c r="A180" s="144"/>
      <c r="B180" s="28"/>
      <c r="D180" s="28"/>
      <c r="F180" s="79"/>
      <c r="G180" s="80"/>
      <c r="H180" s="80"/>
      <c r="I180" s="80"/>
      <c r="J180" s="80"/>
      <c r="Q180" s="108"/>
      <c r="AL180" s="28"/>
    </row>
    <row r="181" spans="1:53" x14ac:dyDescent="0.3">
      <c r="A181" s="144"/>
      <c r="B181" s="28"/>
      <c r="D181" s="28"/>
      <c r="Q181" s="107"/>
      <c r="V181" s="13"/>
      <c r="AL181" s="28"/>
      <c r="BA181" s="89"/>
    </row>
    <row r="182" spans="1:53" x14ac:dyDescent="0.3">
      <c r="A182" s="144"/>
      <c r="B182" s="28"/>
      <c r="D182" s="28"/>
      <c r="F182" s="79"/>
      <c r="G182" s="80"/>
      <c r="H182" s="80"/>
      <c r="I182" s="80"/>
      <c r="J182" s="80"/>
      <c r="V182" s="13"/>
      <c r="AL182" s="28"/>
      <c r="BA182" s="89"/>
    </row>
    <row r="183" spans="1:53" x14ac:dyDescent="0.3">
      <c r="A183" s="144"/>
      <c r="B183" s="28"/>
      <c r="D183" s="28"/>
      <c r="F183" s="79"/>
      <c r="G183" s="80"/>
      <c r="H183" s="80"/>
      <c r="I183" s="80"/>
      <c r="J183" s="87"/>
      <c r="Q183" s="108"/>
      <c r="V183" s="13"/>
      <c r="AL183" s="28"/>
      <c r="BA183" s="89"/>
    </row>
    <row r="184" spans="1:53" x14ac:dyDescent="0.3">
      <c r="A184" s="144"/>
      <c r="B184" s="28"/>
      <c r="D184" s="28"/>
      <c r="F184" s="79"/>
      <c r="G184" s="80"/>
      <c r="H184" s="80"/>
      <c r="I184" s="80"/>
      <c r="J184" s="80"/>
      <c r="Q184" s="108"/>
      <c r="V184" s="13"/>
      <c r="AL184" s="28"/>
      <c r="BA184" s="89"/>
    </row>
    <row r="185" spans="1:53" x14ac:dyDescent="0.3">
      <c r="A185" s="144"/>
      <c r="B185" s="28"/>
      <c r="D185" s="28"/>
      <c r="J185" s="96"/>
      <c r="AL185" s="28"/>
      <c r="BA185" s="89"/>
    </row>
    <row r="186" spans="1:53" x14ac:dyDescent="0.3">
      <c r="A186" s="144"/>
      <c r="B186" s="28"/>
      <c r="D186" s="28"/>
      <c r="F186" s="79"/>
      <c r="G186" s="80"/>
      <c r="H186" s="80"/>
      <c r="I186" s="80"/>
      <c r="J186" s="87"/>
      <c r="Q186" s="104"/>
      <c r="AL186" s="28"/>
      <c r="BA186" s="89"/>
    </row>
    <row r="187" spans="1:53" x14ac:dyDescent="0.3">
      <c r="A187" s="144"/>
      <c r="B187" s="28"/>
      <c r="D187" s="28"/>
      <c r="F187" s="79"/>
      <c r="G187" s="80"/>
      <c r="H187" s="80"/>
      <c r="I187" s="80"/>
      <c r="J187" s="96"/>
      <c r="Q187" s="104"/>
      <c r="AL187" s="28"/>
      <c r="BA187" s="89"/>
    </row>
    <row r="188" spans="1:53" x14ac:dyDescent="0.3">
      <c r="A188" s="144"/>
      <c r="B188" s="28"/>
      <c r="D188" s="28"/>
      <c r="AL188" s="28"/>
      <c r="BA188" s="89"/>
    </row>
    <row r="189" spans="1:53" x14ac:dyDescent="0.3">
      <c r="A189" s="144"/>
      <c r="B189" s="28"/>
      <c r="D189" s="28"/>
      <c r="F189" s="79"/>
      <c r="G189" s="80"/>
      <c r="H189" s="80"/>
      <c r="I189" s="80"/>
      <c r="L189" s="82"/>
      <c r="P189" s="82"/>
      <c r="Q189" s="104"/>
      <c r="S189" s="83"/>
      <c r="T189" s="83"/>
      <c r="U189" s="83"/>
      <c r="AL189" s="28"/>
      <c r="BA189" s="89"/>
    </row>
    <row r="190" spans="1:53" x14ac:dyDescent="0.3">
      <c r="A190" s="144"/>
      <c r="B190" s="28"/>
      <c r="D190" s="28"/>
      <c r="F190" s="79"/>
      <c r="J190" s="87"/>
      <c r="AL190" s="28"/>
    </row>
    <row r="191" spans="1:53" x14ac:dyDescent="0.3">
      <c r="A191" s="144"/>
      <c r="B191" s="28"/>
      <c r="D191" s="28"/>
      <c r="F191" s="79"/>
      <c r="G191" s="80"/>
      <c r="H191" s="80"/>
      <c r="I191" s="80"/>
      <c r="J191" s="80"/>
      <c r="Q191" s="104"/>
      <c r="AL191" s="28"/>
      <c r="BA191" s="89"/>
    </row>
    <row r="192" spans="1:53" x14ac:dyDescent="0.3">
      <c r="A192" s="144"/>
      <c r="B192" s="28"/>
      <c r="D192" s="28"/>
      <c r="F192" s="79"/>
      <c r="G192" s="80"/>
      <c r="H192" s="80"/>
      <c r="I192" s="80"/>
      <c r="J192" s="87"/>
      <c r="Q192" s="108"/>
      <c r="AL192" s="28"/>
      <c r="BA192" s="89"/>
    </row>
    <row r="193" spans="1:53" x14ac:dyDescent="0.3">
      <c r="A193" s="144"/>
      <c r="B193" s="28"/>
      <c r="D193" s="28"/>
      <c r="F193" s="85"/>
      <c r="J193" s="13"/>
      <c r="AL193" s="28"/>
    </row>
    <row r="194" spans="1:53" x14ac:dyDescent="0.3">
      <c r="A194" s="144"/>
      <c r="B194" s="28"/>
      <c r="D194" s="28"/>
      <c r="F194" s="79"/>
      <c r="G194" s="80"/>
      <c r="H194" s="80"/>
      <c r="I194" s="80"/>
      <c r="J194" s="87"/>
      <c r="Q194" s="104"/>
      <c r="AL194" s="28"/>
      <c r="BA194" s="89"/>
    </row>
    <row r="195" spans="1:53" x14ac:dyDescent="0.3">
      <c r="A195" s="144"/>
      <c r="B195" s="28"/>
      <c r="D195" s="28"/>
      <c r="G195" s="80"/>
      <c r="H195" s="80"/>
      <c r="I195" s="80"/>
      <c r="J195" s="80"/>
      <c r="Q195" s="104"/>
      <c r="AL195" s="28"/>
      <c r="BA195" s="89"/>
    </row>
    <row r="196" spans="1:53" x14ac:dyDescent="0.3">
      <c r="A196" s="144"/>
      <c r="B196" s="28"/>
      <c r="D196" s="28"/>
      <c r="G196" s="80"/>
      <c r="H196" s="80"/>
      <c r="I196" s="80"/>
      <c r="J196" s="80"/>
      <c r="Q196" s="108"/>
      <c r="AL196" s="28"/>
    </row>
    <row r="197" spans="1:53" x14ac:dyDescent="0.3">
      <c r="A197" s="144"/>
      <c r="B197" s="28"/>
      <c r="D197" s="28"/>
      <c r="F197" s="79"/>
      <c r="G197" s="80"/>
      <c r="H197" s="80"/>
      <c r="I197" s="80"/>
      <c r="J197" s="80"/>
      <c r="Q197" s="104"/>
      <c r="AL197" s="28"/>
      <c r="BA197" s="89"/>
    </row>
    <row r="198" spans="1:53" x14ac:dyDescent="0.3">
      <c r="A198" s="144"/>
      <c r="B198" s="28"/>
      <c r="D198" s="28"/>
      <c r="F198" s="79"/>
      <c r="G198" s="80"/>
      <c r="H198" s="80"/>
      <c r="I198" s="80"/>
      <c r="J198" s="80"/>
      <c r="Q198" s="104"/>
      <c r="AL198" s="28"/>
    </row>
    <row r="199" spans="1:53" x14ac:dyDescent="0.3">
      <c r="A199" s="144"/>
      <c r="B199" s="28"/>
      <c r="D199" s="28"/>
      <c r="F199" s="79"/>
      <c r="G199" s="80"/>
      <c r="H199" s="80"/>
      <c r="I199" s="80"/>
      <c r="J199" s="96"/>
      <c r="Q199" s="104"/>
      <c r="AL199" s="28"/>
    </row>
    <row r="200" spans="1:53" x14ac:dyDescent="0.3">
      <c r="A200" s="144"/>
      <c r="B200" s="28"/>
      <c r="D200" s="28"/>
      <c r="G200" s="87"/>
      <c r="L200" s="82"/>
      <c r="P200" s="82"/>
      <c r="Q200" s="104"/>
      <c r="S200" s="83"/>
      <c r="T200" s="83"/>
      <c r="U200" s="83"/>
      <c r="AL200" s="28"/>
    </row>
    <row r="201" spans="1:53" x14ac:dyDescent="0.3">
      <c r="A201" s="144"/>
      <c r="B201" s="28"/>
      <c r="D201" s="28"/>
      <c r="Q201" s="107"/>
      <c r="AL201" s="28"/>
    </row>
    <row r="202" spans="1:53" x14ac:dyDescent="0.3">
      <c r="A202" s="144"/>
      <c r="B202" s="28"/>
      <c r="D202" s="28"/>
      <c r="F202" s="79"/>
      <c r="G202" s="80"/>
      <c r="H202" s="80"/>
      <c r="I202" s="80"/>
      <c r="J202" s="88"/>
      <c r="Q202" s="104"/>
      <c r="AL202" s="28"/>
    </row>
    <row r="203" spans="1:53" x14ac:dyDescent="0.3">
      <c r="A203" s="144"/>
      <c r="B203" s="28"/>
      <c r="D203" s="28"/>
      <c r="AL203" s="28"/>
    </row>
    <row r="204" spans="1:53" x14ac:dyDescent="0.3">
      <c r="A204" s="144"/>
      <c r="B204" s="28"/>
      <c r="D204" s="28"/>
      <c r="AL204" s="28"/>
    </row>
    <row r="205" spans="1:53" x14ac:dyDescent="0.3">
      <c r="A205" s="144"/>
      <c r="B205" s="28"/>
      <c r="D205" s="28"/>
      <c r="F205" s="79"/>
      <c r="G205" s="80"/>
      <c r="H205" s="80"/>
      <c r="I205" s="80"/>
      <c r="J205" s="80"/>
      <c r="Q205" s="108"/>
      <c r="AL205" s="28"/>
    </row>
    <row r="206" spans="1:53" x14ac:dyDescent="0.3">
      <c r="A206" s="144"/>
      <c r="B206" s="28"/>
      <c r="D206" s="28"/>
      <c r="F206" s="79"/>
      <c r="G206" s="80"/>
      <c r="H206" s="80"/>
      <c r="I206" s="80"/>
      <c r="J206" s="80"/>
      <c r="Q206" s="108"/>
      <c r="AL206" s="28"/>
    </row>
    <row r="207" spans="1:53" x14ac:dyDescent="0.3">
      <c r="A207" s="144"/>
      <c r="B207" s="28"/>
      <c r="D207" s="28"/>
      <c r="F207" s="79"/>
      <c r="G207" s="80"/>
      <c r="H207" s="80"/>
      <c r="I207" s="80"/>
      <c r="J207" s="80"/>
      <c r="Q207" s="108"/>
      <c r="AL207" s="28"/>
    </row>
    <row r="208" spans="1:53" x14ac:dyDescent="0.3">
      <c r="A208" s="144"/>
      <c r="B208" s="28"/>
      <c r="D208" s="28"/>
      <c r="F208" s="79"/>
      <c r="G208" s="80"/>
      <c r="H208" s="80"/>
      <c r="I208" s="80"/>
      <c r="J208" s="80"/>
      <c r="Q208" s="108"/>
      <c r="AL208" s="28"/>
    </row>
    <row r="209" spans="1:55" x14ac:dyDescent="0.3">
      <c r="A209" s="144"/>
      <c r="B209" s="28"/>
      <c r="D209" s="28"/>
      <c r="F209" s="79"/>
      <c r="G209" s="80"/>
      <c r="H209" s="80"/>
      <c r="I209" s="80"/>
      <c r="J209" s="80"/>
      <c r="Q209" s="108"/>
      <c r="AL209" s="28"/>
    </row>
    <row r="210" spans="1:55" x14ac:dyDescent="0.3">
      <c r="A210" s="144"/>
      <c r="B210" s="28"/>
      <c r="D210" s="28"/>
      <c r="AL210" s="28"/>
    </row>
    <row r="211" spans="1:55" x14ac:dyDescent="0.3">
      <c r="A211" s="144"/>
      <c r="B211" s="28"/>
      <c r="D211" s="28"/>
      <c r="G211" s="80"/>
      <c r="H211" s="80"/>
      <c r="I211" s="80"/>
      <c r="J211" s="88"/>
      <c r="Q211" s="104"/>
      <c r="AL211" s="28"/>
    </row>
    <row r="212" spans="1:55" x14ac:dyDescent="0.3">
      <c r="A212" s="144"/>
      <c r="B212" s="28"/>
      <c r="D212" s="28"/>
      <c r="F212" s="79"/>
      <c r="G212" s="80"/>
      <c r="H212" s="80"/>
      <c r="I212" s="80"/>
      <c r="J212" s="13"/>
      <c r="Q212" s="104"/>
      <c r="AL212" s="28"/>
      <c r="BA212" s="89"/>
    </row>
    <row r="213" spans="1:55" x14ac:dyDescent="0.3">
      <c r="A213" s="144"/>
      <c r="B213" s="28"/>
      <c r="D213" s="28"/>
      <c r="AL213" s="28"/>
    </row>
    <row r="214" spans="1:55" x14ac:dyDescent="0.3">
      <c r="A214" s="144"/>
      <c r="B214" s="28"/>
      <c r="D214" s="28"/>
      <c r="AL214" s="28"/>
      <c r="BA214" s="89"/>
    </row>
    <row r="215" spans="1:55" x14ac:dyDescent="0.3">
      <c r="A215" s="144"/>
      <c r="B215" s="28"/>
      <c r="D215" s="28"/>
      <c r="AL215" s="28"/>
    </row>
    <row r="216" spans="1:55" x14ac:dyDescent="0.3">
      <c r="A216" s="144"/>
      <c r="B216" s="28"/>
      <c r="D216" s="28"/>
      <c r="AL216" s="28"/>
      <c r="BA216" s="89"/>
    </row>
    <row r="217" spans="1:55" x14ac:dyDescent="0.3">
      <c r="A217" s="144"/>
      <c r="B217" s="28"/>
      <c r="D217" s="28"/>
      <c r="F217" s="79"/>
      <c r="G217" s="80"/>
      <c r="H217" s="80"/>
      <c r="I217" s="80"/>
      <c r="J217" s="80"/>
      <c r="Q217" s="104"/>
      <c r="AL217" s="28"/>
      <c r="BA217" s="89"/>
    </row>
    <row r="218" spans="1:55" x14ac:dyDescent="0.3">
      <c r="A218" s="144"/>
      <c r="B218" s="28"/>
      <c r="D218" s="28"/>
      <c r="AL218" s="28"/>
    </row>
    <row r="219" spans="1:55" ht="3.9" customHeight="1" x14ac:dyDescent="0.3">
      <c r="A219" s="46"/>
      <c r="B219" s="46"/>
      <c r="C219" s="73"/>
      <c r="D219" s="46"/>
      <c r="E219" s="73"/>
      <c r="F219" s="74"/>
      <c r="G219" s="46"/>
      <c r="H219" s="46"/>
      <c r="I219" s="46"/>
      <c r="J219" s="46"/>
      <c r="K219" s="46"/>
      <c r="L219" s="75"/>
      <c r="M219" s="76"/>
      <c r="N219" s="77"/>
      <c r="O219" s="46"/>
      <c r="P219" s="75"/>
      <c r="Q219" s="142"/>
      <c r="R219" s="46"/>
      <c r="S219" s="78"/>
      <c r="T219" s="78"/>
      <c r="U219" s="78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  <c r="AG219" s="46"/>
      <c r="AH219" s="46"/>
      <c r="AI219" s="46"/>
      <c r="AJ219" s="46"/>
      <c r="AK219" s="46"/>
      <c r="AL219" s="46"/>
      <c r="AM219" s="46"/>
      <c r="AN219" s="46"/>
      <c r="AO219" s="46"/>
      <c r="AP219" s="109"/>
      <c r="AQ219" s="109"/>
      <c r="AR219" s="46"/>
      <c r="AS219" s="46"/>
      <c r="AT219" s="46"/>
      <c r="AU219" s="46"/>
      <c r="AV219" s="46"/>
      <c r="AW219" s="46"/>
      <c r="AX219" s="46"/>
      <c r="AY219" s="46"/>
      <c r="AZ219" s="46"/>
      <c r="BA219" s="46"/>
      <c r="BB219" s="46"/>
      <c r="BC219" s="46"/>
    </row>
    <row r="220" spans="1:55" x14ac:dyDescent="0.3">
      <c r="A220" s="144" t="s">
        <v>50</v>
      </c>
      <c r="B220" s="28"/>
      <c r="D220" s="28"/>
      <c r="F220" s="79"/>
      <c r="G220" s="80"/>
      <c r="H220" s="80"/>
      <c r="I220" s="80"/>
      <c r="J220" s="80"/>
      <c r="V220" s="13"/>
      <c r="AL220" s="28"/>
      <c r="BA220" s="89"/>
    </row>
    <row r="221" spans="1:55" x14ac:dyDescent="0.3">
      <c r="A221" s="144"/>
      <c r="B221" s="28"/>
      <c r="D221" s="28"/>
      <c r="F221" s="79"/>
      <c r="G221" s="80"/>
      <c r="H221" s="80"/>
      <c r="I221" s="80"/>
      <c r="J221" s="87"/>
      <c r="V221" s="13"/>
      <c r="AL221" s="28"/>
      <c r="BA221" s="89"/>
    </row>
    <row r="222" spans="1:55" x14ac:dyDescent="0.3">
      <c r="A222" s="144"/>
      <c r="B222" s="28"/>
      <c r="D222" s="28"/>
      <c r="V222" s="13"/>
      <c r="BA222" s="89"/>
    </row>
    <row r="223" spans="1:55" x14ac:dyDescent="0.3">
      <c r="A223" s="144"/>
      <c r="B223" s="28"/>
      <c r="D223" s="28"/>
      <c r="F223" s="85"/>
      <c r="G223" s="80"/>
      <c r="H223" s="80"/>
      <c r="I223" s="80"/>
      <c r="J223" s="88"/>
      <c r="Q223" s="107"/>
      <c r="V223" s="13"/>
      <c r="AL223" s="28"/>
      <c r="BA223" s="89"/>
    </row>
    <row r="224" spans="1:55" x14ac:dyDescent="0.3">
      <c r="A224" s="144"/>
      <c r="B224" s="28"/>
      <c r="D224" s="28"/>
      <c r="V224" s="13"/>
    </row>
    <row r="225" spans="1:53" x14ac:dyDescent="0.3">
      <c r="A225" s="144"/>
      <c r="B225" s="28"/>
      <c r="D225" s="28"/>
      <c r="V225" s="13"/>
      <c r="AL225" s="28"/>
      <c r="BA225" s="89"/>
    </row>
    <row r="226" spans="1:53" x14ac:dyDescent="0.3">
      <c r="A226" s="144"/>
      <c r="B226" s="28"/>
      <c r="D226" s="28"/>
      <c r="F226" s="102"/>
      <c r="G226" s="80"/>
      <c r="H226" s="80"/>
      <c r="I226" s="80"/>
      <c r="J226" s="80"/>
      <c r="V226" s="13"/>
      <c r="AL226" s="28"/>
      <c r="BA226" s="89"/>
    </row>
    <row r="227" spans="1:53" x14ac:dyDescent="0.3">
      <c r="A227" s="144"/>
      <c r="B227" s="28"/>
      <c r="D227" s="28"/>
      <c r="J227" s="13"/>
      <c r="Q227" s="107"/>
      <c r="V227" s="13"/>
      <c r="AL227" s="28"/>
      <c r="BA227" s="89"/>
    </row>
    <row r="228" spans="1:53" x14ac:dyDescent="0.3">
      <c r="A228" s="144"/>
      <c r="B228" s="28"/>
      <c r="D228" s="28"/>
      <c r="F228" s="79"/>
      <c r="G228" s="80"/>
      <c r="H228" s="80"/>
      <c r="I228" s="80"/>
      <c r="J228" s="96"/>
      <c r="V228" s="13"/>
      <c r="AL228" s="28"/>
      <c r="BA228" s="89"/>
    </row>
    <row r="229" spans="1:53" x14ac:dyDescent="0.3">
      <c r="A229" s="144"/>
      <c r="B229" s="28"/>
      <c r="D229" s="28"/>
      <c r="F229" s="79"/>
      <c r="G229" s="80"/>
      <c r="H229" s="80"/>
      <c r="I229" s="80"/>
      <c r="J229" s="13"/>
      <c r="V229" s="13"/>
      <c r="AL229" s="28"/>
      <c r="BA229" s="89"/>
    </row>
    <row r="230" spans="1:53" x14ac:dyDescent="0.3">
      <c r="A230" s="144"/>
      <c r="B230" s="28"/>
      <c r="D230" s="28"/>
      <c r="F230" s="79"/>
      <c r="G230" s="80"/>
      <c r="H230" s="80"/>
      <c r="I230" s="80"/>
      <c r="J230" s="96"/>
      <c r="V230" s="13"/>
      <c r="AL230" s="28"/>
      <c r="BA230" s="89"/>
    </row>
    <row r="231" spans="1:53" x14ac:dyDescent="0.3">
      <c r="A231" s="144"/>
      <c r="B231" s="28"/>
      <c r="D231" s="28"/>
      <c r="F231" s="102"/>
      <c r="G231" s="80"/>
      <c r="H231" s="80"/>
      <c r="I231" s="80"/>
      <c r="J231" s="96"/>
      <c r="V231" s="13"/>
      <c r="AL231" s="28"/>
      <c r="BA231" s="89"/>
    </row>
    <row r="232" spans="1:53" x14ac:dyDescent="0.3">
      <c r="A232" s="144"/>
      <c r="B232" s="28"/>
      <c r="D232" s="28"/>
      <c r="F232" s="102"/>
      <c r="G232" s="80"/>
      <c r="H232" s="80"/>
      <c r="I232" s="80"/>
      <c r="J232" s="87"/>
      <c r="V232" s="13"/>
      <c r="AL232" s="28"/>
      <c r="BA232" s="89"/>
    </row>
    <row r="233" spans="1:53" x14ac:dyDescent="0.3">
      <c r="A233" s="144"/>
      <c r="B233" s="28"/>
      <c r="D233" s="28"/>
      <c r="F233" s="79"/>
      <c r="G233" s="80"/>
      <c r="H233" s="80"/>
      <c r="I233" s="80"/>
      <c r="J233" s="87"/>
      <c r="Q233" s="107"/>
      <c r="V233" s="13"/>
      <c r="AL233" s="28"/>
      <c r="BA233" s="89"/>
    </row>
    <row r="234" spans="1:53" x14ac:dyDescent="0.3">
      <c r="A234" s="144"/>
      <c r="B234" s="28"/>
      <c r="D234" s="28"/>
      <c r="Q234" s="107"/>
      <c r="V234" s="13"/>
      <c r="AL234" s="28"/>
    </row>
    <row r="235" spans="1:53" x14ac:dyDescent="0.3">
      <c r="A235" s="144"/>
      <c r="B235" s="28"/>
      <c r="D235" s="28"/>
      <c r="G235" s="80"/>
      <c r="H235" s="80"/>
      <c r="I235" s="80"/>
      <c r="J235" s="87"/>
      <c r="V235" s="13"/>
      <c r="AL235" s="28"/>
      <c r="BA235" s="89"/>
    </row>
    <row r="236" spans="1:53" x14ac:dyDescent="0.3">
      <c r="A236" s="144"/>
      <c r="B236" s="28"/>
      <c r="D236" s="28"/>
      <c r="G236" s="80"/>
      <c r="H236" s="80"/>
      <c r="I236" s="80"/>
      <c r="J236" s="87"/>
      <c r="V236" s="13"/>
      <c r="AL236" s="28"/>
    </row>
    <row r="237" spans="1:53" x14ac:dyDescent="0.3">
      <c r="A237" s="144"/>
      <c r="B237" s="28"/>
      <c r="D237" s="28"/>
      <c r="F237" s="79"/>
      <c r="G237" s="80"/>
      <c r="H237" s="80"/>
      <c r="I237" s="80"/>
      <c r="J237" s="80"/>
      <c r="V237" s="13"/>
      <c r="AL237" s="28"/>
      <c r="BA237" s="89"/>
    </row>
    <row r="238" spans="1:53" x14ac:dyDescent="0.3">
      <c r="A238" s="144"/>
      <c r="B238" s="28"/>
      <c r="D238" s="28"/>
      <c r="G238" s="80"/>
      <c r="H238" s="80"/>
      <c r="I238" s="80"/>
      <c r="J238" s="13"/>
      <c r="V238" s="13"/>
      <c r="AL238" s="28"/>
      <c r="BA238" s="89"/>
    </row>
    <row r="239" spans="1:53" x14ac:dyDescent="0.3">
      <c r="A239" s="144"/>
      <c r="B239" s="28"/>
      <c r="D239" s="28"/>
      <c r="V239" s="13"/>
      <c r="AL239" s="28"/>
      <c r="BA239" s="89"/>
    </row>
    <row r="240" spans="1:53" x14ac:dyDescent="0.3">
      <c r="A240" s="144"/>
      <c r="B240" s="28"/>
      <c r="D240" s="28"/>
      <c r="V240" s="13"/>
      <c r="BA240" s="89"/>
    </row>
    <row r="241" spans="1:53" x14ac:dyDescent="0.3">
      <c r="A241" s="144"/>
      <c r="B241" s="28"/>
      <c r="D241" s="28"/>
      <c r="Q241" s="107"/>
      <c r="V241" s="13"/>
      <c r="AL241" s="28"/>
      <c r="BA241" s="89"/>
    </row>
    <row r="242" spans="1:53" x14ac:dyDescent="0.3">
      <c r="A242" s="144"/>
      <c r="B242" s="28"/>
      <c r="D242" s="28"/>
      <c r="V242" s="13"/>
      <c r="BA242" s="89"/>
    </row>
    <row r="243" spans="1:53" x14ac:dyDescent="0.3">
      <c r="A243" s="144"/>
      <c r="B243" s="28"/>
      <c r="D243" s="28"/>
      <c r="V243" s="13"/>
      <c r="AL243" s="28"/>
      <c r="BA243" s="89"/>
    </row>
    <row r="244" spans="1:53" x14ac:dyDescent="0.3">
      <c r="A244" s="144"/>
      <c r="B244" s="28"/>
      <c r="D244" s="28"/>
      <c r="F244" s="102"/>
      <c r="G244" s="80"/>
      <c r="H244" s="80"/>
      <c r="I244" s="80"/>
      <c r="J244" s="80"/>
      <c r="V244" s="13"/>
      <c r="AL244" s="28"/>
      <c r="BA244" s="89"/>
    </row>
    <row r="245" spans="1:53" x14ac:dyDescent="0.3">
      <c r="A245" s="144"/>
      <c r="B245" s="28"/>
      <c r="D245" s="28"/>
      <c r="F245" s="79"/>
      <c r="G245" s="80"/>
      <c r="H245" s="80"/>
      <c r="I245" s="80"/>
      <c r="J245" s="87"/>
      <c r="V245" s="13"/>
      <c r="AL245" s="28"/>
      <c r="BA245" s="89"/>
    </row>
    <row r="246" spans="1:53" x14ac:dyDescent="0.3">
      <c r="A246" s="144"/>
      <c r="B246" s="28"/>
      <c r="D246" s="28"/>
      <c r="F246" s="79"/>
      <c r="G246" s="80"/>
      <c r="H246" s="80"/>
      <c r="I246" s="80"/>
      <c r="J246" s="80"/>
      <c r="V246" s="13"/>
      <c r="AL246" s="28"/>
      <c r="BA246" s="89"/>
    </row>
    <row r="247" spans="1:53" x14ac:dyDescent="0.3">
      <c r="A247" s="144"/>
      <c r="B247" s="28"/>
      <c r="D247" s="28"/>
      <c r="G247" s="80"/>
      <c r="H247" s="80"/>
      <c r="I247" s="80"/>
      <c r="J247" s="97"/>
      <c r="Q247" s="107"/>
      <c r="V247" s="13"/>
      <c r="AL247" s="28"/>
      <c r="BA247" s="89"/>
    </row>
    <row r="248" spans="1:53" x14ac:dyDescent="0.3">
      <c r="A248" s="144"/>
      <c r="B248" s="28"/>
      <c r="D248" s="28"/>
      <c r="F248" s="102"/>
      <c r="G248" s="80"/>
      <c r="H248" s="80"/>
      <c r="I248" s="80"/>
      <c r="J248" s="97"/>
      <c r="V248" s="13"/>
      <c r="AL248" s="28"/>
      <c r="BA248" s="89"/>
    </row>
    <row r="249" spans="1:53" x14ac:dyDescent="0.3">
      <c r="A249" s="144"/>
      <c r="B249" s="28"/>
      <c r="D249" s="28"/>
      <c r="Q249" s="107"/>
      <c r="V249" s="13"/>
      <c r="AL249" s="28"/>
      <c r="BA249" s="89"/>
    </row>
    <row r="250" spans="1:53" x14ac:dyDescent="0.3">
      <c r="A250" s="144"/>
      <c r="B250" s="28"/>
      <c r="D250" s="28"/>
      <c r="F250" s="79"/>
      <c r="G250" s="80"/>
      <c r="H250" s="80"/>
      <c r="I250" s="80"/>
      <c r="J250" s="87"/>
      <c r="V250" s="13"/>
      <c r="AL250" s="28"/>
      <c r="BA250" s="89"/>
    </row>
    <row r="251" spans="1:53" x14ac:dyDescent="0.3">
      <c r="A251" s="144"/>
      <c r="B251" s="28"/>
      <c r="D251" s="28"/>
      <c r="V251" s="13"/>
      <c r="BA251" s="89"/>
    </row>
    <row r="252" spans="1:53" x14ac:dyDescent="0.3">
      <c r="A252" s="144"/>
      <c r="B252" s="28"/>
      <c r="D252" s="28"/>
      <c r="G252" s="80"/>
      <c r="H252" s="80"/>
      <c r="I252" s="80"/>
      <c r="J252" s="87"/>
      <c r="V252" s="13"/>
      <c r="AL252" s="28"/>
      <c r="BA252" s="89"/>
    </row>
    <row r="253" spans="1:53" x14ac:dyDescent="0.3">
      <c r="A253" s="144"/>
      <c r="B253" s="28"/>
      <c r="D253" s="28"/>
      <c r="F253" s="102"/>
      <c r="G253" s="80"/>
      <c r="H253" s="80"/>
      <c r="I253" s="80"/>
      <c r="J253" s="80"/>
      <c r="V253" s="13"/>
      <c r="AL253" s="28"/>
      <c r="BA253" s="89"/>
    </row>
    <row r="254" spans="1:53" x14ac:dyDescent="0.3">
      <c r="A254" s="144"/>
      <c r="B254" s="28"/>
      <c r="D254" s="28"/>
      <c r="F254" s="79"/>
      <c r="G254" s="80"/>
      <c r="H254" s="80"/>
      <c r="I254" s="80"/>
      <c r="J254" s="80"/>
      <c r="V254" s="13"/>
      <c r="AL254" s="28"/>
      <c r="BA254" s="89"/>
    </row>
    <row r="255" spans="1:53" x14ac:dyDescent="0.3">
      <c r="A255" s="144"/>
      <c r="B255" s="28"/>
      <c r="D255" s="28"/>
      <c r="F255" s="79"/>
      <c r="G255" s="80"/>
      <c r="H255" s="80"/>
      <c r="I255" s="80"/>
      <c r="J255" s="80"/>
      <c r="V255" s="13"/>
      <c r="AL255" s="28"/>
      <c r="BA255" s="89"/>
    </row>
    <row r="256" spans="1:53" x14ac:dyDescent="0.3">
      <c r="A256" s="144"/>
      <c r="B256" s="28"/>
      <c r="D256" s="28"/>
      <c r="F256" s="79"/>
      <c r="G256" s="80"/>
      <c r="H256" s="80"/>
      <c r="I256" s="80"/>
      <c r="J256" s="13"/>
      <c r="V256" s="13"/>
      <c r="AL256" s="28"/>
      <c r="BA256" s="89"/>
    </row>
    <row r="257" spans="1:53" x14ac:dyDescent="0.3">
      <c r="A257" s="144"/>
      <c r="B257" s="28"/>
      <c r="D257" s="28"/>
      <c r="F257" s="79"/>
      <c r="G257" s="80"/>
      <c r="H257" s="80"/>
      <c r="I257" s="80"/>
      <c r="J257" s="87"/>
      <c r="V257" s="13"/>
      <c r="AL257" s="28"/>
      <c r="BA257" s="89"/>
    </row>
    <row r="258" spans="1:53" x14ac:dyDescent="0.3">
      <c r="A258" s="144"/>
      <c r="B258" s="28"/>
      <c r="D258" s="28"/>
      <c r="F258" s="79"/>
      <c r="G258" s="80"/>
      <c r="H258" s="80"/>
      <c r="I258" s="80"/>
      <c r="J258" s="80"/>
      <c r="Q258" s="107"/>
      <c r="V258" s="13"/>
      <c r="AL258" s="28"/>
      <c r="BA258" s="89"/>
    </row>
    <row r="259" spans="1:53" x14ac:dyDescent="0.3">
      <c r="A259" s="144"/>
      <c r="B259" s="28"/>
      <c r="D259" s="28"/>
      <c r="F259" s="79"/>
      <c r="G259" s="80"/>
      <c r="H259" s="80"/>
      <c r="I259" s="80"/>
      <c r="J259" s="88"/>
      <c r="V259" s="13"/>
      <c r="AL259" s="28"/>
      <c r="BA259" s="89"/>
    </row>
    <row r="260" spans="1:53" x14ac:dyDescent="0.3">
      <c r="A260" s="144"/>
      <c r="B260" s="28"/>
      <c r="D260" s="28"/>
      <c r="J260" s="13"/>
      <c r="Q260" s="108"/>
      <c r="V260" s="13"/>
      <c r="AL260" s="28"/>
      <c r="BA260" s="89"/>
    </row>
    <row r="261" spans="1:53" x14ac:dyDescent="0.3">
      <c r="A261" s="144"/>
      <c r="B261" s="28"/>
      <c r="D261" s="28"/>
      <c r="J261" s="13"/>
      <c r="V261" s="13"/>
      <c r="BA261" s="89"/>
    </row>
    <row r="262" spans="1:53" x14ac:dyDescent="0.3">
      <c r="A262" s="144"/>
      <c r="B262" s="28"/>
      <c r="D262" s="28"/>
      <c r="F262" s="79"/>
      <c r="G262" s="80"/>
      <c r="H262" s="80"/>
      <c r="I262" s="80"/>
      <c r="J262" s="80"/>
      <c r="AL262" s="28"/>
      <c r="BA262" s="89"/>
    </row>
    <row r="263" spans="1:53" x14ac:dyDescent="0.3">
      <c r="A263" s="144"/>
      <c r="B263" s="28"/>
      <c r="D263" s="28"/>
    </row>
    <row r="264" spans="1:53" x14ac:dyDescent="0.3">
      <c r="A264" s="144"/>
      <c r="B264" s="28"/>
      <c r="D264" s="28"/>
      <c r="F264" s="79"/>
      <c r="G264" s="80"/>
      <c r="H264" s="80"/>
      <c r="I264" s="80"/>
      <c r="J264" s="80"/>
      <c r="Q264" s="107"/>
      <c r="V264" s="13"/>
      <c r="AL264" s="28"/>
    </row>
    <row r="265" spans="1:53" x14ac:dyDescent="0.3">
      <c r="A265" s="144"/>
      <c r="B265" s="28"/>
      <c r="D265" s="28"/>
      <c r="F265" s="79"/>
      <c r="G265" s="80"/>
      <c r="H265" s="80"/>
      <c r="I265" s="80"/>
      <c r="J265" s="87"/>
      <c r="V265" s="13"/>
      <c r="AL265" s="28"/>
      <c r="BA265" s="89"/>
    </row>
    <row r="266" spans="1:53" x14ac:dyDescent="0.3">
      <c r="A266" s="144"/>
      <c r="B266" s="28"/>
      <c r="D266" s="28"/>
      <c r="F266" s="79"/>
      <c r="G266" s="80"/>
      <c r="H266" s="80"/>
      <c r="I266" s="80"/>
      <c r="J266" s="87"/>
      <c r="V266" s="13"/>
      <c r="AL266" s="28"/>
      <c r="BA266" s="89"/>
    </row>
    <row r="267" spans="1:53" x14ac:dyDescent="0.3">
      <c r="A267" s="144"/>
      <c r="B267" s="28"/>
      <c r="D267" s="28"/>
      <c r="F267" s="102"/>
      <c r="G267" s="80"/>
      <c r="H267" s="80"/>
      <c r="I267" s="80"/>
      <c r="J267" s="13"/>
      <c r="V267" s="13"/>
      <c r="AL267" s="28"/>
      <c r="BA267" s="89"/>
    </row>
    <row r="268" spans="1:53" x14ac:dyDescent="0.3">
      <c r="A268" s="144"/>
      <c r="B268" s="28"/>
      <c r="D268" s="28"/>
      <c r="G268" s="80"/>
      <c r="H268" s="80"/>
      <c r="I268" s="80"/>
      <c r="J268" s="80"/>
      <c r="V268" s="13"/>
      <c r="AL268" s="28"/>
      <c r="BA268" s="89"/>
    </row>
    <row r="269" spans="1:53" x14ac:dyDescent="0.3">
      <c r="A269" s="144"/>
      <c r="B269" s="28"/>
      <c r="D269" s="28"/>
      <c r="Q269" s="107"/>
      <c r="V269" s="13"/>
      <c r="AL269" s="28"/>
      <c r="BA269" s="89"/>
    </row>
    <row r="270" spans="1:53" x14ac:dyDescent="0.3">
      <c r="A270" s="144"/>
      <c r="B270" s="28"/>
      <c r="D270" s="28"/>
      <c r="Q270" s="104"/>
      <c r="AL270" s="28"/>
      <c r="BA270" s="89"/>
    </row>
    <row r="271" spans="1:53" x14ac:dyDescent="0.3">
      <c r="A271" s="144"/>
      <c r="B271" s="28"/>
      <c r="D271" s="28"/>
      <c r="G271" s="80"/>
      <c r="H271" s="80"/>
      <c r="I271" s="80"/>
      <c r="J271" s="87"/>
      <c r="V271" s="13"/>
      <c r="AL271" s="28"/>
      <c r="BA271" s="89"/>
    </row>
    <row r="272" spans="1:53" x14ac:dyDescent="0.3">
      <c r="A272" s="144"/>
      <c r="B272" s="28"/>
      <c r="D272" s="28"/>
      <c r="F272" s="102"/>
      <c r="G272" s="80"/>
      <c r="H272" s="80"/>
      <c r="I272" s="80"/>
      <c r="J272" s="87"/>
      <c r="Q272" s="107"/>
      <c r="AL272" s="28"/>
      <c r="BA272" s="89"/>
    </row>
    <row r="273" spans="1:53" x14ac:dyDescent="0.3">
      <c r="A273" s="144"/>
      <c r="B273" s="28"/>
      <c r="D273" s="28"/>
      <c r="F273" s="79"/>
      <c r="G273" s="80"/>
      <c r="H273" s="80"/>
      <c r="I273" s="80"/>
      <c r="J273" s="80"/>
      <c r="Q273" s="107"/>
      <c r="V273" s="13"/>
      <c r="AL273" s="28"/>
      <c r="BA273" s="89"/>
    </row>
    <row r="274" spans="1:53" x14ac:dyDescent="0.3">
      <c r="A274" s="144"/>
      <c r="B274" s="28"/>
      <c r="D274" s="28"/>
      <c r="V274" s="13"/>
    </row>
    <row r="275" spans="1:53" x14ac:dyDescent="0.3">
      <c r="A275" s="144"/>
      <c r="B275" s="28"/>
      <c r="D275" s="28"/>
      <c r="F275" s="79"/>
      <c r="G275" s="80"/>
      <c r="H275" s="80"/>
      <c r="I275" s="80"/>
      <c r="J275" s="87"/>
      <c r="V275" s="13"/>
      <c r="AL275" s="28"/>
      <c r="BA275" s="89"/>
    </row>
    <row r="276" spans="1:53" x14ac:dyDescent="0.3">
      <c r="A276" s="144"/>
      <c r="B276" s="28"/>
      <c r="D276" s="28"/>
      <c r="G276" s="80"/>
      <c r="H276" s="80"/>
      <c r="I276" s="80"/>
      <c r="J276" s="87"/>
      <c r="Q276" s="107"/>
      <c r="V276" s="13"/>
      <c r="AL276" s="28"/>
      <c r="BA276" s="89"/>
    </row>
    <row r="277" spans="1:53" x14ac:dyDescent="0.3">
      <c r="A277" s="144"/>
      <c r="B277" s="28"/>
      <c r="D277" s="28"/>
      <c r="V277" s="13"/>
      <c r="AL277" s="28"/>
      <c r="BA277" s="89"/>
    </row>
    <row r="278" spans="1:53" x14ac:dyDescent="0.3">
      <c r="A278" s="144"/>
      <c r="B278" s="28"/>
      <c r="D278" s="28"/>
      <c r="F278" s="79"/>
      <c r="G278" s="80"/>
      <c r="H278" s="80"/>
      <c r="I278" s="80"/>
      <c r="J278" s="80"/>
      <c r="V278" s="13"/>
      <c r="AL278" s="28"/>
      <c r="BA278" s="89"/>
    </row>
    <row r="279" spans="1:53" x14ac:dyDescent="0.3">
      <c r="A279" s="144"/>
      <c r="B279" s="28"/>
      <c r="D279" s="28"/>
      <c r="F279" s="85"/>
      <c r="G279" s="80"/>
      <c r="H279" s="80"/>
      <c r="I279" s="80"/>
      <c r="J279" s="80"/>
      <c r="V279" s="13"/>
      <c r="AL279" s="28"/>
      <c r="BA279" s="89"/>
    </row>
    <row r="280" spans="1:53" x14ac:dyDescent="0.3">
      <c r="A280" s="144"/>
      <c r="B280" s="28"/>
      <c r="D280" s="28"/>
      <c r="J280" s="97"/>
      <c r="V280" s="13"/>
      <c r="AL280" s="28"/>
      <c r="BA280" s="89"/>
    </row>
    <row r="281" spans="1:53" x14ac:dyDescent="0.3">
      <c r="A281" s="144"/>
      <c r="B281" s="28"/>
      <c r="D281" s="28"/>
      <c r="F281" s="102"/>
      <c r="G281" s="80"/>
      <c r="H281" s="80"/>
      <c r="I281" s="80"/>
      <c r="J281" s="13"/>
      <c r="V281" s="13"/>
      <c r="AL281" s="28"/>
      <c r="BA281" s="89"/>
    </row>
    <row r="282" spans="1:53" x14ac:dyDescent="0.3">
      <c r="A282" s="144"/>
      <c r="B282" s="28"/>
      <c r="D282" s="28"/>
      <c r="F282" s="79"/>
      <c r="G282" s="80"/>
      <c r="H282" s="80"/>
      <c r="I282" s="80"/>
      <c r="J282" s="87"/>
      <c r="Q282" s="107"/>
      <c r="V282" s="13"/>
      <c r="AL282" s="28"/>
      <c r="BA282" s="89"/>
    </row>
    <row r="283" spans="1:53" x14ac:dyDescent="0.3">
      <c r="A283" s="144"/>
      <c r="B283" s="28"/>
      <c r="D283" s="28"/>
      <c r="F283" s="102"/>
      <c r="G283" s="80"/>
      <c r="H283" s="80"/>
      <c r="I283" s="80"/>
      <c r="J283" s="80"/>
      <c r="Q283" s="107"/>
      <c r="AL283" s="28"/>
      <c r="BA283" s="89"/>
    </row>
    <row r="284" spans="1:53" x14ac:dyDescent="0.3">
      <c r="A284" s="144"/>
      <c r="B284" s="28"/>
      <c r="D284" s="28"/>
      <c r="F284" s="79"/>
      <c r="G284" s="80"/>
      <c r="H284" s="80"/>
      <c r="I284" s="80"/>
      <c r="J284" s="87"/>
      <c r="AL284" s="28"/>
      <c r="BA284" s="89"/>
    </row>
    <row r="285" spans="1:53" x14ac:dyDescent="0.3">
      <c r="A285" s="144"/>
      <c r="B285" s="28"/>
      <c r="D285" s="28"/>
      <c r="G285" s="80"/>
      <c r="H285" s="80"/>
      <c r="I285" s="80"/>
      <c r="J285" s="80"/>
      <c r="AL285" s="28"/>
      <c r="BA285" s="89"/>
    </row>
    <row r="286" spans="1:53" x14ac:dyDescent="0.3">
      <c r="A286" s="144"/>
      <c r="B286" s="28"/>
      <c r="D286" s="28"/>
      <c r="AL286" s="28"/>
      <c r="BA286" s="89"/>
    </row>
    <row r="287" spans="1:53" x14ac:dyDescent="0.3">
      <c r="A287" s="144"/>
      <c r="B287" s="28"/>
      <c r="D287" s="28"/>
    </row>
    <row r="288" spans="1:53" x14ac:dyDescent="0.3">
      <c r="A288" s="144"/>
      <c r="B288" s="28"/>
      <c r="D288" s="28"/>
    </row>
    <row r="289" spans="1:4" x14ac:dyDescent="0.3">
      <c r="A289" s="144"/>
      <c r="B289" s="28"/>
      <c r="D289" s="28"/>
    </row>
    <row r="290" spans="1:4" x14ac:dyDescent="0.3">
      <c r="A290" s="144"/>
      <c r="B290" s="28"/>
      <c r="D290" s="28"/>
    </row>
    <row r="291" spans="1:4" x14ac:dyDescent="0.3">
      <c r="A291" s="144"/>
      <c r="B291" s="28"/>
      <c r="D291" s="28"/>
    </row>
    <row r="292" spans="1:4" x14ac:dyDescent="0.3">
      <c r="A292" s="144"/>
      <c r="B292" s="28"/>
      <c r="D292" s="28"/>
    </row>
    <row r="293" spans="1:4" x14ac:dyDescent="0.3">
      <c r="A293" s="144"/>
      <c r="B293" s="28"/>
      <c r="D293" s="28"/>
    </row>
    <row r="294" spans="1:4" x14ac:dyDescent="0.3">
      <c r="A294" s="144"/>
      <c r="B294" s="28"/>
      <c r="D294" s="28"/>
    </row>
    <row r="295" spans="1:4" x14ac:dyDescent="0.3">
      <c r="A295" s="144"/>
      <c r="B295" s="28"/>
      <c r="D295" s="28"/>
    </row>
    <row r="296" spans="1:4" x14ac:dyDescent="0.3">
      <c r="A296" s="144"/>
      <c r="B296" s="28"/>
      <c r="D296" s="28"/>
    </row>
    <row r="297" spans="1:4" x14ac:dyDescent="0.3">
      <c r="A297" s="144"/>
      <c r="B297" s="28"/>
      <c r="D297" s="28"/>
    </row>
    <row r="298" spans="1:4" x14ac:dyDescent="0.3">
      <c r="A298" s="144"/>
      <c r="B298" s="28"/>
      <c r="D298" s="28"/>
    </row>
    <row r="299" spans="1:4" x14ac:dyDescent="0.3">
      <c r="A299" s="144"/>
      <c r="B299" s="28"/>
      <c r="D299" s="28"/>
    </row>
    <row r="300" spans="1:4" x14ac:dyDescent="0.3">
      <c r="A300" s="144"/>
      <c r="B300" s="28"/>
      <c r="D300" s="28"/>
    </row>
    <row r="301" spans="1:4" x14ac:dyDescent="0.3">
      <c r="A301" s="144"/>
      <c r="B301" s="28"/>
      <c r="D301" s="28"/>
    </row>
    <row r="302" spans="1:4" x14ac:dyDescent="0.3">
      <c r="A302" s="144"/>
      <c r="B302" s="28"/>
      <c r="D302" s="28"/>
    </row>
    <row r="303" spans="1:4" x14ac:dyDescent="0.3">
      <c r="A303" s="144"/>
      <c r="B303" s="28"/>
      <c r="D303" s="28"/>
    </row>
    <row r="304" spans="1:4" x14ac:dyDescent="0.3">
      <c r="A304" s="144"/>
      <c r="B304" s="28"/>
      <c r="D304" s="28"/>
    </row>
    <row r="305" spans="1:55" x14ac:dyDescent="0.3">
      <c r="A305" s="144"/>
      <c r="B305" s="28"/>
      <c r="D305" s="28"/>
    </row>
    <row r="306" spans="1:55" x14ac:dyDescent="0.3">
      <c r="A306" s="144"/>
      <c r="B306" s="28"/>
      <c r="D306" s="28"/>
    </row>
    <row r="307" spans="1:55" x14ac:dyDescent="0.3">
      <c r="A307" s="144"/>
      <c r="B307" s="28"/>
      <c r="D307" s="28"/>
    </row>
    <row r="308" spans="1:55" x14ac:dyDescent="0.3">
      <c r="A308" s="144"/>
      <c r="B308" s="28"/>
      <c r="D308" s="28"/>
    </row>
    <row r="309" spans="1:55" x14ac:dyDescent="0.3">
      <c r="A309" s="144"/>
      <c r="B309" s="28"/>
      <c r="D309" s="28"/>
    </row>
    <row r="310" spans="1:55" x14ac:dyDescent="0.3">
      <c r="A310" s="144"/>
      <c r="B310" s="28"/>
      <c r="D310" s="28"/>
    </row>
    <row r="311" spans="1:55" x14ac:dyDescent="0.3">
      <c r="A311" s="144"/>
      <c r="B311" s="28"/>
      <c r="D311" s="28"/>
    </row>
    <row r="312" spans="1:55" x14ac:dyDescent="0.3">
      <c r="A312" s="144"/>
      <c r="B312" s="28"/>
      <c r="D312" s="28"/>
    </row>
    <row r="313" spans="1:55" x14ac:dyDescent="0.3">
      <c r="A313" s="144"/>
      <c r="B313" s="28"/>
      <c r="D313" s="28"/>
    </row>
    <row r="314" spans="1:55" x14ac:dyDescent="0.3">
      <c r="A314" s="144"/>
      <c r="B314" s="28"/>
      <c r="D314" s="28"/>
    </row>
    <row r="315" spans="1:55" x14ac:dyDescent="0.3">
      <c r="A315" s="144"/>
      <c r="B315" s="28"/>
      <c r="D315" s="28"/>
    </row>
    <row r="316" spans="1:55" x14ac:dyDescent="0.3">
      <c r="A316" s="144"/>
      <c r="B316" s="28"/>
      <c r="D316" s="28"/>
    </row>
    <row r="317" spans="1:55" x14ac:dyDescent="0.3">
      <c r="A317" s="144"/>
      <c r="B317" s="28"/>
      <c r="D317" s="28"/>
      <c r="F317" s="79"/>
      <c r="G317" s="80"/>
      <c r="H317" s="80"/>
      <c r="I317" s="80"/>
      <c r="J317" s="84"/>
    </row>
    <row r="318" spans="1:55" x14ac:dyDescent="0.3">
      <c r="A318" s="144"/>
      <c r="B318" s="28"/>
      <c r="D318" s="28"/>
      <c r="G318" s="80"/>
      <c r="H318" s="80"/>
      <c r="I318" s="80"/>
      <c r="J318" s="84"/>
    </row>
    <row r="319" spans="1:55" x14ac:dyDescent="0.3">
      <c r="A319" s="144"/>
      <c r="B319" s="28"/>
      <c r="D319" s="28"/>
    </row>
    <row r="320" spans="1:55" ht="9.75" customHeight="1" x14ac:dyDescent="0.3">
      <c r="A320" s="46"/>
      <c r="B320" s="73"/>
      <c r="C320" s="73"/>
      <c r="D320" s="73"/>
      <c r="E320" s="73"/>
      <c r="F320" s="74"/>
      <c r="G320" s="46"/>
      <c r="H320" s="46"/>
      <c r="I320" s="46"/>
      <c r="J320" s="46"/>
      <c r="K320" s="46"/>
      <c r="L320" s="75"/>
      <c r="M320" s="76"/>
      <c r="N320" s="77"/>
      <c r="O320" s="46"/>
      <c r="P320" s="75"/>
      <c r="Q320" s="142"/>
      <c r="R320" s="46"/>
      <c r="S320" s="78"/>
      <c r="T320" s="78"/>
      <c r="U320" s="78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  <c r="AG320" s="46"/>
      <c r="AH320" s="46"/>
      <c r="AI320" s="46"/>
      <c r="AJ320" s="46"/>
      <c r="AK320" s="46"/>
      <c r="AL320" s="46"/>
      <c r="AM320" s="46"/>
      <c r="AN320" s="46"/>
      <c r="AO320" s="46"/>
      <c r="AP320" s="109"/>
      <c r="AQ320" s="109"/>
      <c r="AR320" s="46"/>
      <c r="AS320" s="46"/>
      <c r="AT320" s="46"/>
      <c r="AU320" s="46"/>
      <c r="AV320" s="46"/>
      <c r="AW320" s="46"/>
      <c r="AX320" s="46"/>
      <c r="AY320" s="46"/>
      <c r="AZ320" s="46"/>
      <c r="BA320" s="46"/>
      <c r="BB320" s="46"/>
      <c r="BC320" s="46"/>
    </row>
    <row r="321" spans="1:53" x14ac:dyDescent="0.3">
      <c r="A321" s="144" t="s">
        <v>54</v>
      </c>
      <c r="B321" s="28"/>
      <c r="D321" s="28"/>
      <c r="F321" s="79"/>
      <c r="G321" s="80"/>
      <c r="H321" s="80"/>
      <c r="I321" s="80"/>
      <c r="J321" s="80"/>
      <c r="Q321" s="108"/>
      <c r="V321" s="13"/>
      <c r="AL321" s="28"/>
      <c r="BA321" s="89"/>
    </row>
    <row r="322" spans="1:53" x14ac:dyDescent="0.3">
      <c r="A322" s="144"/>
      <c r="B322" s="28"/>
      <c r="D322" s="28"/>
      <c r="V322" s="13"/>
      <c r="AL322" s="28"/>
      <c r="BA322" s="89"/>
    </row>
    <row r="323" spans="1:53" x14ac:dyDescent="0.3">
      <c r="A323" s="144"/>
      <c r="B323" s="28"/>
      <c r="D323" s="28"/>
      <c r="F323" s="79"/>
      <c r="G323" s="80"/>
      <c r="H323" s="80"/>
      <c r="I323" s="80"/>
      <c r="J323" s="80"/>
      <c r="Q323" s="104"/>
      <c r="V323" s="13"/>
      <c r="AL323" s="28"/>
      <c r="BA323" s="89"/>
    </row>
    <row r="324" spans="1:53" x14ac:dyDescent="0.3">
      <c r="A324" s="144"/>
      <c r="B324" s="28"/>
      <c r="D324" s="28"/>
      <c r="F324" s="85"/>
      <c r="J324" s="13"/>
      <c r="Q324" s="107"/>
      <c r="V324" s="13"/>
      <c r="AL324" s="28"/>
      <c r="BA324" s="89"/>
    </row>
    <row r="325" spans="1:53" x14ac:dyDescent="0.3">
      <c r="A325" s="144"/>
      <c r="B325" s="28"/>
      <c r="D325" s="28"/>
      <c r="F325" s="79"/>
      <c r="G325" s="80"/>
      <c r="H325" s="80"/>
      <c r="I325" s="80"/>
      <c r="J325" s="80"/>
      <c r="Q325" s="108"/>
      <c r="V325" s="13"/>
      <c r="AL325" s="28"/>
      <c r="BA325" s="89"/>
    </row>
    <row r="326" spans="1:53" x14ac:dyDescent="0.3">
      <c r="A326" s="144"/>
      <c r="B326" s="28"/>
      <c r="D326" s="28"/>
      <c r="F326" s="79"/>
      <c r="G326" s="80"/>
      <c r="H326" s="80"/>
      <c r="I326" s="80"/>
      <c r="J326" s="80"/>
      <c r="Q326" s="108"/>
      <c r="V326" s="13"/>
      <c r="AL326" s="28"/>
      <c r="BA326" s="89"/>
    </row>
    <row r="327" spans="1:53" x14ac:dyDescent="0.3">
      <c r="A327" s="144"/>
      <c r="B327" s="28"/>
      <c r="D327" s="28"/>
      <c r="F327" s="79"/>
      <c r="G327" s="80"/>
      <c r="H327" s="80"/>
      <c r="I327" s="80"/>
      <c r="J327" s="80"/>
      <c r="Q327" s="108"/>
      <c r="V327" s="13"/>
      <c r="AL327" s="28"/>
      <c r="BA327" s="89"/>
    </row>
    <row r="328" spans="1:53" x14ac:dyDescent="0.3">
      <c r="A328" s="144"/>
      <c r="B328" s="28"/>
      <c r="D328" s="28"/>
      <c r="G328" s="80"/>
      <c r="H328" s="80"/>
      <c r="I328" s="80"/>
      <c r="J328" s="80"/>
      <c r="Q328" s="104"/>
      <c r="V328" s="13"/>
      <c r="AL328" s="28"/>
      <c r="BA328" s="89"/>
    </row>
    <row r="329" spans="1:53" x14ac:dyDescent="0.3">
      <c r="A329" s="144"/>
      <c r="B329" s="28"/>
      <c r="D329" s="28"/>
      <c r="F329" s="102"/>
      <c r="G329" s="80"/>
      <c r="H329" s="80"/>
      <c r="I329" s="80"/>
      <c r="J329" s="87"/>
      <c r="Q329" s="104"/>
      <c r="V329" s="13"/>
      <c r="AL329" s="28"/>
      <c r="BA329" s="89"/>
    </row>
    <row r="330" spans="1:53" x14ac:dyDescent="0.3">
      <c r="A330" s="144"/>
      <c r="B330" s="28"/>
      <c r="D330" s="28"/>
      <c r="F330" s="79"/>
      <c r="G330" s="80"/>
      <c r="H330" s="80"/>
      <c r="I330" s="80"/>
      <c r="J330" s="80"/>
      <c r="Q330" s="104"/>
      <c r="V330" s="13"/>
      <c r="AL330" s="28"/>
      <c r="BA330" s="89"/>
    </row>
    <row r="331" spans="1:53" x14ac:dyDescent="0.3">
      <c r="A331" s="144"/>
      <c r="B331" s="28"/>
      <c r="D331" s="28"/>
      <c r="F331" s="79"/>
      <c r="G331" s="80"/>
      <c r="H331" s="80"/>
      <c r="I331" s="80"/>
      <c r="J331" s="80"/>
      <c r="Q331" s="108"/>
      <c r="V331" s="13"/>
      <c r="AL331" s="28"/>
      <c r="BA331" s="89"/>
    </row>
    <row r="332" spans="1:53" x14ac:dyDescent="0.3">
      <c r="A332" s="144"/>
      <c r="B332" s="28"/>
      <c r="D332" s="28"/>
      <c r="V332" s="13"/>
      <c r="AL332" s="28"/>
      <c r="BA332" s="89"/>
    </row>
    <row r="333" spans="1:53" x14ac:dyDescent="0.3">
      <c r="A333" s="144"/>
      <c r="B333" s="28"/>
      <c r="D333" s="28"/>
      <c r="Q333" s="107"/>
      <c r="V333" s="13"/>
      <c r="AL333" s="28"/>
      <c r="BA333" s="89"/>
    </row>
    <row r="334" spans="1:53" x14ac:dyDescent="0.3">
      <c r="A334" s="144"/>
      <c r="B334" s="28"/>
      <c r="D334" s="28"/>
      <c r="F334" s="79"/>
      <c r="G334" s="80"/>
      <c r="H334" s="80"/>
      <c r="I334" s="80"/>
      <c r="J334" s="80"/>
      <c r="Q334" s="108"/>
      <c r="V334" s="13"/>
      <c r="AL334" s="28"/>
      <c r="BA334" s="89"/>
    </row>
    <row r="335" spans="1:53" x14ac:dyDescent="0.3">
      <c r="A335" s="144"/>
      <c r="B335" s="28"/>
      <c r="D335" s="28"/>
      <c r="F335" s="102"/>
      <c r="G335" s="80"/>
      <c r="H335" s="80"/>
      <c r="I335" s="80"/>
      <c r="J335" s="87"/>
      <c r="Q335" s="104"/>
      <c r="V335" s="13"/>
      <c r="AL335" s="28"/>
      <c r="BA335" s="89"/>
    </row>
    <row r="336" spans="1:53" x14ac:dyDescent="0.3">
      <c r="A336" s="144"/>
      <c r="B336" s="28"/>
      <c r="D336" s="28"/>
      <c r="F336" s="79"/>
      <c r="G336" s="80"/>
      <c r="H336" s="80"/>
      <c r="I336" s="80"/>
      <c r="J336" s="80"/>
      <c r="Q336" s="108"/>
      <c r="V336" s="13"/>
      <c r="AL336" s="28"/>
      <c r="BA336" s="89"/>
    </row>
    <row r="337" spans="1:53" x14ac:dyDescent="0.3">
      <c r="A337" s="144"/>
      <c r="B337" s="28"/>
      <c r="D337" s="28"/>
      <c r="J337" s="13"/>
      <c r="Q337" s="107"/>
      <c r="V337" s="13"/>
      <c r="AL337" s="28"/>
      <c r="BA337" s="89"/>
    </row>
    <row r="338" spans="1:53" x14ac:dyDescent="0.3">
      <c r="A338" s="144"/>
      <c r="B338" s="28"/>
      <c r="D338" s="28"/>
      <c r="F338" s="85"/>
      <c r="G338" s="80"/>
      <c r="H338" s="80"/>
      <c r="I338" s="80"/>
      <c r="J338" s="80"/>
      <c r="Q338" s="108"/>
      <c r="V338" s="13"/>
      <c r="AL338" s="28"/>
      <c r="BA338" s="89"/>
    </row>
    <row r="339" spans="1:53" x14ac:dyDescent="0.3">
      <c r="A339" s="144"/>
      <c r="B339" s="28"/>
      <c r="D339" s="28"/>
      <c r="F339" s="79"/>
      <c r="G339" s="80"/>
      <c r="H339" s="80"/>
      <c r="I339" s="80"/>
      <c r="J339" s="87"/>
      <c r="Q339" s="108"/>
      <c r="V339" s="13"/>
      <c r="AL339" s="28"/>
      <c r="BA339" s="89"/>
    </row>
    <row r="340" spans="1:53" x14ac:dyDescent="0.3">
      <c r="A340" s="144"/>
      <c r="B340" s="28"/>
      <c r="D340" s="28"/>
      <c r="F340" s="79"/>
      <c r="G340" s="80"/>
      <c r="H340" s="80"/>
      <c r="I340" s="80"/>
      <c r="J340" s="80"/>
      <c r="Q340" s="108"/>
      <c r="V340" s="13"/>
      <c r="AL340" s="28"/>
      <c r="BA340" s="89"/>
    </row>
    <row r="341" spans="1:53" x14ac:dyDescent="0.3">
      <c r="A341" s="144"/>
      <c r="B341" s="28"/>
      <c r="D341" s="28"/>
      <c r="Q341" s="107"/>
      <c r="V341" s="13"/>
      <c r="AL341" s="28"/>
      <c r="BA341" s="89"/>
    </row>
    <row r="342" spans="1:53" x14ac:dyDescent="0.3">
      <c r="A342" s="144"/>
      <c r="B342" s="28"/>
      <c r="D342" s="28"/>
      <c r="V342" s="13"/>
      <c r="BA342" s="89"/>
    </row>
    <row r="343" spans="1:53" x14ac:dyDescent="0.3">
      <c r="A343" s="144"/>
      <c r="B343" s="28"/>
      <c r="D343" s="28"/>
      <c r="F343" s="102"/>
      <c r="G343" s="80"/>
      <c r="H343" s="80"/>
      <c r="I343" s="80"/>
      <c r="J343" s="80"/>
      <c r="Q343" s="108"/>
      <c r="V343" s="13"/>
      <c r="AL343" s="28"/>
      <c r="BA343" s="89"/>
    </row>
    <row r="344" spans="1:53" x14ac:dyDescent="0.3">
      <c r="A344" s="144"/>
      <c r="B344" s="28"/>
      <c r="D344" s="28"/>
      <c r="F344" s="102"/>
      <c r="G344" s="80"/>
      <c r="H344" s="80"/>
      <c r="I344" s="80"/>
      <c r="J344" s="87"/>
      <c r="Q344" s="108"/>
      <c r="V344" s="13"/>
      <c r="AL344" s="28"/>
      <c r="BA344" s="89"/>
    </row>
    <row r="345" spans="1:53" x14ac:dyDescent="0.3">
      <c r="A345" s="144"/>
      <c r="B345" s="28"/>
      <c r="D345" s="28"/>
      <c r="V345" s="13"/>
    </row>
    <row r="346" spans="1:53" x14ac:dyDescent="0.3">
      <c r="A346" s="144"/>
      <c r="B346" s="28"/>
      <c r="D346" s="28"/>
      <c r="F346" s="79"/>
      <c r="G346" s="80"/>
      <c r="H346" s="80"/>
      <c r="I346" s="80"/>
      <c r="J346" s="87"/>
      <c r="Q346" s="108"/>
      <c r="V346" s="13"/>
      <c r="AL346" s="28"/>
      <c r="BA346" s="89"/>
    </row>
    <row r="347" spans="1:53" x14ac:dyDescent="0.3">
      <c r="A347" s="144"/>
      <c r="B347" s="28"/>
      <c r="D347" s="28"/>
      <c r="F347" s="79"/>
      <c r="G347" s="80"/>
      <c r="H347" s="80"/>
      <c r="I347" s="80"/>
      <c r="J347" s="80"/>
      <c r="Q347" s="108"/>
      <c r="V347" s="13"/>
      <c r="AL347" s="28"/>
      <c r="BA347" s="89"/>
    </row>
    <row r="348" spans="1:53" x14ac:dyDescent="0.3">
      <c r="A348" s="144"/>
      <c r="B348" s="28"/>
      <c r="D348" s="28"/>
      <c r="F348" s="102"/>
      <c r="Q348" s="107"/>
      <c r="V348" s="13"/>
      <c r="AL348" s="28"/>
      <c r="BA348" s="89"/>
    </row>
    <row r="349" spans="1:53" x14ac:dyDescent="0.3">
      <c r="A349" s="144"/>
      <c r="B349" s="28"/>
      <c r="D349" s="28"/>
      <c r="V349" s="13"/>
      <c r="AL349" s="28"/>
      <c r="BA349" s="89"/>
    </row>
    <row r="350" spans="1:53" x14ac:dyDescent="0.3">
      <c r="A350" s="144"/>
      <c r="B350" s="28"/>
      <c r="D350" s="28"/>
      <c r="F350" s="79"/>
      <c r="G350" s="80"/>
      <c r="H350" s="80"/>
      <c r="I350" s="80"/>
      <c r="J350" s="87"/>
      <c r="Q350" s="108"/>
      <c r="V350" s="13"/>
      <c r="AL350" s="28"/>
      <c r="BA350" s="89"/>
    </row>
    <row r="351" spans="1:53" x14ac:dyDescent="0.3">
      <c r="A351" s="144"/>
      <c r="B351" s="28"/>
      <c r="D351" s="28"/>
      <c r="V351" s="13"/>
      <c r="BA351" s="89"/>
    </row>
    <row r="352" spans="1:53" x14ac:dyDescent="0.3">
      <c r="A352" s="144"/>
      <c r="B352" s="28"/>
      <c r="D352" s="28"/>
      <c r="F352" s="79"/>
      <c r="G352" s="80"/>
      <c r="H352" s="80"/>
      <c r="I352" s="80"/>
      <c r="J352" s="96"/>
      <c r="Q352" s="108"/>
      <c r="AL352" s="28"/>
      <c r="BA352" s="89"/>
    </row>
    <row r="353" spans="1:53" x14ac:dyDescent="0.3">
      <c r="A353" s="144"/>
      <c r="B353" s="28"/>
      <c r="D353" s="28"/>
      <c r="J353" s="97"/>
      <c r="Q353" s="107"/>
      <c r="AL353" s="28"/>
      <c r="BA353" s="89"/>
    </row>
    <row r="354" spans="1:53" x14ac:dyDescent="0.3">
      <c r="A354" s="144"/>
      <c r="B354" s="28"/>
      <c r="D354" s="28"/>
      <c r="J354" s="13"/>
      <c r="V354" s="13"/>
      <c r="BA354" s="89"/>
    </row>
    <row r="355" spans="1:53" x14ac:dyDescent="0.3">
      <c r="A355" s="144"/>
      <c r="B355" s="28"/>
      <c r="D355" s="28"/>
      <c r="F355" s="79"/>
      <c r="G355" s="80"/>
      <c r="H355" s="80"/>
      <c r="I355" s="80"/>
      <c r="J355" s="87"/>
      <c r="Q355" s="108"/>
      <c r="V355" s="13"/>
      <c r="AL355" s="28"/>
      <c r="BA355" s="89"/>
    </row>
    <row r="356" spans="1:53" x14ac:dyDescent="0.3">
      <c r="A356" s="144"/>
      <c r="B356" s="28"/>
      <c r="D356" s="28"/>
      <c r="J356" s="13"/>
      <c r="Q356" s="107"/>
      <c r="V356" s="13"/>
      <c r="AL356" s="28"/>
      <c r="BA356" s="89"/>
    </row>
    <row r="357" spans="1:53" x14ac:dyDescent="0.3">
      <c r="A357" s="144"/>
      <c r="B357" s="28"/>
      <c r="D357" s="28"/>
      <c r="F357" s="79"/>
      <c r="G357" s="80"/>
      <c r="H357" s="80"/>
      <c r="I357" s="80"/>
      <c r="J357" s="80"/>
      <c r="Q357" s="108"/>
      <c r="V357" s="13"/>
      <c r="AL357" s="28"/>
      <c r="BA357" s="89"/>
    </row>
    <row r="358" spans="1:53" x14ac:dyDescent="0.3">
      <c r="A358" s="144"/>
      <c r="B358" s="28"/>
      <c r="D358" s="28"/>
      <c r="F358" s="79"/>
      <c r="G358" s="80"/>
      <c r="H358" s="80"/>
      <c r="I358" s="80"/>
      <c r="J358" s="80"/>
      <c r="Q358" s="107"/>
      <c r="V358" s="13"/>
      <c r="AL358" s="28"/>
      <c r="BA358" s="89"/>
    </row>
    <row r="359" spans="1:53" x14ac:dyDescent="0.3">
      <c r="A359" s="144"/>
      <c r="B359" s="28"/>
      <c r="D359" s="28"/>
      <c r="F359" s="79"/>
      <c r="G359" s="80"/>
      <c r="H359" s="80"/>
      <c r="I359" s="80"/>
      <c r="J359" s="80"/>
      <c r="Q359" s="108"/>
      <c r="V359" s="13"/>
      <c r="AL359" s="28"/>
      <c r="BA359" s="89"/>
    </row>
    <row r="360" spans="1:53" x14ac:dyDescent="0.3">
      <c r="A360" s="144"/>
      <c r="B360" s="28"/>
      <c r="D360" s="28"/>
      <c r="F360" s="102"/>
      <c r="G360" s="80"/>
      <c r="H360" s="80"/>
      <c r="I360" s="80"/>
      <c r="J360" s="96"/>
      <c r="Q360" s="104"/>
      <c r="V360" s="13"/>
      <c r="AL360" s="28"/>
      <c r="BA360" s="89"/>
    </row>
    <row r="361" spans="1:53" x14ac:dyDescent="0.3">
      <c r="A361" s="144"/>
      <c r="B361" s="28"/>
      <c r="D361" s="28"/>
      <c r="F361" s="79"/>
      <c r="G361" s="80"/>
      <c r="H361" s="80"/>
      <c r="I361" s="80"/>
      <c r="J361" s="80"/>
      <c r="Q361" s="108"/>
      <c r="V361" s="13"/>
      <c r="AL361" s="28"/>
      <c r="BA361" s="89"/>
    </row>
    <row r="362" spans="1:53" x14ac:dyDescent="0.3">
      <c r="A362" s="144"/>
      <c r="B362" s="28"/>
      <c r="D362" s="28"/>
      <c r="F362" s="79"/>
      <c r="G362" s="80"/>
      <c r="H362" s="80"/>
      <c r="I362" s="80"/>
      <c r="J362" s="87"/>
      <c r="Q362" s="108"/>
      <c r="V362" s="13"/>
      <c r="AL362" s="28"/>
      <c r="BA362" s="89"/>
    </row>
    <row r="363" spans="1:53" x14ac:dyDescent="0.3">
      <c r="A363" s="144"/>
      <c r="B363" s="28"/>
      <c r="D363" s="28"/>
      <c r="F363" s="102"/>
      <c r="G363" s="80"/>
      <c r="H363" s="80"/>
      <c r="I363" s="80"/>
      <c r="J363" s="87"/>
      <c r="Q363" s="108"/>
      <c r="V363" s="13"/>
      <c r="AL363" s="28"/>
      <c r="BA363" s="89"/>
    </row>
    <row r="364" spans="1:53" x14ac:dyDescent="0.3">
      <c r="A364" s="144"/>
      <c r="B364" s="28"/>
      <c r="D364" s="28"/>
      <c r="F364" s="85"/>
      <c r="J364" s="13"/>
      <c r="V364" s="13"/>
      <c r="AL364" s="28"/>
      <c r="BA364" s="89"/>
    </row>
    <row r="365" spans="1:53" x14ac:dyDescent="0.3">
      <c r="A365" s="144"/>
      <c r="B365" s="28"/>
      <c r="D365" s="28"/>
      <c r="F365" s="79"/>
      <c r="G365" s="80"/>
      <c r="H365" s="80"/>
      <c r="I365" s="80"/>
      <c r="J365" s="13"/>
      <c r="Q365" s="108"/>
      <c r="V365" s="13"/>
      <c r="AL365" s="28"/>
      <c r="BA365" s="89"/>
    </row>
    <row r="366" spans="1:53" x14ac:dyDescent="0.3">
      <c r="A366" s="144"/>
      <c r="B366" s="28"/>
      <c r="D366" s="28"/>
      <c r="F366" s="102"/>
      <c r="Q366" s="107"/>
      <c r="AL366" s="28"/>
      <c r="BA366" s="89"/>
    </row>
    <row r="367" spans="1:53" x14ac:dyDescent="0.3">
      <c r="A367" s="144"/>
      <c r="B367" s="28"/>
      <c r="D367" s="28"/>
      <c r="J367" s="13"/>
      <c r="AL367" s="28"/>
      <c r="BA367" s="89"/>
    </row>
    <row r="368" spans="1:53" x14ac:dyDescent="0.3">
      <c r="A368" s="144"/>
      <c r="B368" s="28"/>
      <c r="D368" s="28"/>
      <c r="F368" s="79"/>
      <c r="G368" s="80"/>
      <c r="H368" s="80"/>
      <c r="I368" s="80"/>
      <c r="J368" s="80"/>
      <c r="Q368" s="104"/>
      <c r="V368" s="13"/>
      <c r="AL368" s="28"/>
      <c r="BA368" s="89"/>
    </row>
    <row r="369" spans="1:53" x14ac:dyDescent="0.3">
      <c r="A369" s="144"/>
      <c r="B369" s="28"/>
      <c r="D369" s="28"/>
      <c r="F369" s="79"/>
      <c r="G369" s="80"/>
      <c r="H369" s="80"/>
      <c r="I369" s="80"/>
      <c r="J369" s="80"/>
      <c r="V369" s="13"/>
      <c r="BA369" s="89"/>
    </row>
    <row r="370" spans="1:53" x14ac:dyDescent="0.3">
      <c r="A370" s="144"/>
      <c r="B370" s="28"/>
      <c r="D370" s="28"/>
      <c r="F370" s="79"/>
      <c r="G370" s="80"/>
      <c r="H370" s="80"/>
      <c r="I370" s="80"/>
      <c r="J370" s="80"/>
      <c r="Q370" s="108"/>
      <c r="V370" s="13"/>
      <c r="AL370" s="28"/>
      <c r="BA370" s="89"/>
    </row>
    <row r="371" spans="1:53" x14ac:dyDescent="0.3">
      <c r="A371" s="144"/>
      <c r="B371" s="28"/>
      <c r="D371" s="28"/>
      <c r="J371" s="13"/>
      <c r="Q371" s="107"/>
      <c r="V371" s="13"/>
      <c r="AL371" s="28"/>
      <c r="BA371" s="89"/>
    </row>
    <row r="372" spans="1:53" x14ac:dyDescent="0.3">
      <c r="A372" s="144"/>
      <c r="B372" s="28"/>
      <c r="D372" s="28"/>
      <c r="F372" s="102"/>
      <c r="G372" s="80"/>
      <c r="H372" s="80"/>
      <c r="I372" s="80"/>
      <c r="J372" s="87"/>
      <c r="Q372" s="104"/>
      <c r="V372" s="13"/>
      <c r="AL372" s="28"/>
      <c r="BA372" s="89"/>
    </row>
    <row r="373" spans="1:53" x14ac:dyDescent="0.3">
      <c r="A373" s="144"/>
      <c r="B373" s="28"/>
      <c r="D373" s="28"/>
      <c r="F373" s="79"/>
      <c r="G373" s="80"/>
      <c r="H373" s="80"/>
      <c r="I373" s="80"/>
      <c r="J373" s="97"/>
      <c r="Q373" s="104"/>
      <c r="V373" s="13"/>
      <c r="AL373" s="28"/>
      <c r="BA373" s="89"/>
    </row>
    <row r="374" spans="1:53" x14ac:dyDescent="0.3">
      <c r="A374" s="144"/>
      <c r="B374" s="28"/>
      <c r="D374" s="28"/>
      <c r="F374" s="85"/>
      <c r="J374" s="13"/>
      <c r="Q374" s="107"/>
      <c r="V374" s="13"/>
      <c r="AL374" s="28"/>
      <c r="BA374" s="89"/>
    </row>
    <row r="375" spans="1:53" x14ac:dyDescent="0.3">
      <c r="A375" s="144"/>
      <c r="B375" s="28"/>
      <c r="D375" s="28"/>
      <c r="F375" s="79"/>
      <c r="G375" s="80"/>
      <c r="H375" s="80"/>
      <c r="I375" s="80"/>
      <c r="J375" s="80"/>
      <c r="Q375" s="108"/>
      <c r="V375" s="13"/>
      <c r="AL375" s="28"/>
      <c r="BA375" s="89"/>
    </row>
    <row r="376" spans="1:53" x14ac:dyDescent="0.3">
      <c r="A376" s="144"/>
      <c r="B376" s="28"/>
      <c r="D376" s="28"/>
      <c r="F376" s="79"/>
      <c r="G376" s="80"/>
      <c r="H376" s="80"/>
      <c r="I376" s="80"/>
      <c r="J376" s="87"/>
      <c r="Q376" s="108"/>
      <c r="AL376" s="28"/>
      <c r="BA376" s="89"/>
    </row>
    <row r="377" spans="1:53" x14ac:dyDescent="0.3">
      <c r="A377" s="144"/>
      <c r="B377" s="28"/>
      <c r="D377" s="28"/>
      <c r="J377" s="13"/>
      <c r="V377" s="13"/>
      <c r="AL377" s="28"/>
      <c r="BA377" s="89"/>
    </row>
    <row r="378" spans="1:53" x14ac:dyDescent="0.3">
      <c r="A378" s="144"/>
      <c r="B378" s="28"/>
      <c r="D378" s="28"/>
      <c r="F378" s="102"/>
      <c r="G378" s="80"/>
      <c r="H378" s="80"/>
      <c r="I378" s="80"/>
      <c r="J378" s="97"/>
      <c r="Q378" s="107"/>
      <c r="V378" s="13"/>
      <c r="AL378" s="28"/>
      <c r="BA378" s="89"/>
    </row>
    <row r="379" spans="1:53" x14ac:dyDescent="0.3">
      <c r="A379" s="144"/>
      <c r="B379" s="28"/>
      <c r="D379" s="28"/>
      <c r="F379" s="79"/>
      <c r="G379" s="80"/>
      <c r="H379" s="80"/>
      <c r="I379" s="80"/>
      <c r="J379" s="87"/>
      <c r="Q379" s="108"/>
      <c r="V379" s="13"/>
      <c r="AL379" s="28"/>
      <c r="BA379" s="89"/>
    </row>
    <row r="380" spans="1:53" x14ac:dyDescent="0.3">
      <c r="A380" s="144"/>
      <c r="B380" s="28"/>
      <c r="D380" s="28"/>
      <c r="F380" s="79"/>
      <c r="G380" s="80"/>
      <c r="H380" s="80"/>
      <c r="I380" s="80"/>
      <c r="J380" s="80"/>
      <c r="Q380" s="104"/>
      <c r="V380" s="13"/>
      <c r="AL380" s="28"/>
      <c r="BA380" s="121"/>
    </row>
    <row r="381" spans="1:53" x14ac:dyDescent="0.3">
      <c r="A381" s="144"/>
      <c r="B381" s="28"/>
      <c r="D381" s="28"/>
      <c r="Q381" s="104"/>
      <c r="AL381" s="28"/>
      <c r="BA381" s="89"/>
    </row>
    <row r="382" spans="1:53" x14ac:dyDescent="0.3">
      <c r="A382" s="144"/>
      <c r="B382" s="28"/>
      <c r="D382" s="28"/>
      <c r="F382" s="79"/>
      <c r="G382" s="80"/>
      <c r="H382" s="80"/>
      <c r="I382" s="80"/>
      <c r="J382" s="80"/>
      <c r="Q382" s="108"/>
      <c r="AL382" s="28"/>
      <c r="BA382" s="89"/>
    </row>
    <row r="383" spans="1:53" x14ac:dyDescent="0.3">
      <c r="A383" s="144"/>
      <c r="B383" s="28"/>
      <c r="D383" s="28"/>
      <c r="F383" s="79"/>
      <c r="G383" s="80"/>
      <c r="H383" s="80"/>
      <c r="I383" s="80"/>
      <c r="J383" s="87"/>
      <c r="Q383" s="108"/>
      <c r="AL383" s="28"/>
      <c r="BA383" s="89"/>
    </row>
    <row r="384" spans="1:53" x14ac:dyDescent="0.3">
      <c r="A384" s="144"/>
      <c r="B384" s="28"/>
      <c r="D384" s="28"/>
      <c r="Q384" s="107"/>
      <c r="V384" s="13"/>
      <c r="AL384" s="28"/>
      <c r="BA384" s="89"/>
    </row>
    <row r="385" spans="1:53" x14ac:dyDescent="0.3">
      <c r="A385" s="144"/>
      <c r="B385" s="28"/>
      <c r="D385" s="28"/>
      <c r="BA385" s="89"/>
    </row>
    <row r="386" spans="1:53" x14ac:dyDescent="0.3">
      <c r="A386" s="144"/>
      <c r="B386" s="28"/>
      <c r="D386" s="28"/>
      <c r="F386" s="79"/>
      <c r="G386" s="80"/>
      <c r="H386" s="80"/>
      <c r="I386" s="80"/>
      <c r="J386" s="80"/>
      <c r="Q386" s="108"/>
      <c r="AL386" s="28"/>
      <c r="BA386" s="89"/>
    </row>
    <row r="387" spans="1:53" x14ac:dyDescent="0.3">
      <c r="A387" s="144"/>
      <c r="B387" s="28"/>
      <c r="D387" s="28"/>
      <c r="Q387" s="107"/>
      <c r="AL387" s="28"/>
      <c r="BA387" s="89"/>
    </row>
    <row r="388" spans="1:53" x14ac:dyDescent="0.3">
      <c r="A388" s="144"/>
      <c r="B388" s="28"/>
      <c r="D388" s="28"/>
    </row>
    <row r="389" spans="1:53" x14ac:dyDescent="0.3">
      <c r="A389" s="144"/>
      <c r="B389" s="28"/>
      <c r="D389" s="28"/>
      <c r="F389" s="102"/>
      <c r="G389" s="80"/>
      <c r="H389" s="80"/>
      <c r="I389" s="80"/>
      <c r="J389" s="87"/>
      <c r="Q389" s="104"/>
      <c r="V389" s="13"/>
      <c r="AL389" s="28"/>
      <c r="BA389" s="89"/>
    </row>
    <row r="390" spans="1:53" x14ac:dyDescent="0.3">
      <c r="A390" s="144"/>
      <c r="B390" s="28"/>
      <c r="D390" s="28"/>
      <c r="F390" s="85"/>
      <c r="G390" s="80"/>
      <c r="H390" s="80"/>
      <c r="I390" s="80"/>
      <c r="J390" s="80"/>
      <c r="Q390" s="108"/>
      <c r="V390" s="13"/>
      <c r="AL390" s="28"/>
      <c r="BA390" s="89"/>
    </row>
    <row r="391" spans="1:53" x14ac:dyDescent="0.3">
      <c r="A391" s="144"/>
      <c r="B391" s="28"/>
      <c r="D391" s="28"/>
      <c r="F391" s="79"/>
      <c r="G391" s="80"/>
      <c r="H391" s="80"/>
      <c r="I391" s="80"/>
      <c r="J391" s="80"/>
      <c r="Q391" s="104"/>
      <c r="V391" s="13"/>
      <c r="AL391" s="28"/>
      <c r="BA391" s="89"/>
    </row>
    <row r="392" spans="1:53" x14ac:dyDescent="0.3">
      <c r="A392" s="144"/>
      <c r="B392" s="28"/>
      <c r="D392" s="28"/>
      <c r="F392" s="102"/>
      <c r="G392" s="80"/>
      <c r="H392" s="80"/>
      <c r="I392" s="80"/>
      <c r="J392" s="97"/>
      <c r="Q392" s="108"/>
      <c r="V392" s="13"/>
      <c r="AL392" s="28"/>
      <c r="BA392" s="89"/>
    </row>
    <row r="393" spans="1:53" x14ac:dyDescent="0.3">
      <c r="A393" s="144"/>
      <c r="B393" s="28"/>
      <c r="D393" s="28"/>
      <c r="F393" s="79"/>
      <c r="G393" s="80"/>
      <c r="H393" s="80"/>
      <c r="I393" s="80"/>
      <c r="J393" s="80"/>
      <c r="Q393" s="108"/>
      <c r="AL393" s="28"/>
      <c r="BA393" s="89"/>
    </row>
    <row r="394" spans="1:53" x14ac:dyDescent="0.3">
      <c r="A394" s="144"/>
      <c r="B394" s="28"/>
      <c r="D394" s="28"/>
      <c r="F394" s="102"/>
      <c r="G394" s="80"/>
      <c r="H394" s="80"/>
      <c r="I394" s="80"/>
      <c r="J394" s="87"/>
      <c r="Q394" s="108"/>
      <c r="AL394" s="28"/>
      <c r="BA394" s="89"/>
    </row>
    <row r="395" spans="1:53" x14ac:dyDescent="0.3">
      <c r="A395" s="144"/>
      <c r="B395" s="28"/>
      <c r="D395" s="28"/>
      <c r="F395" s="79"/>
      <c r="G395" s="80"/>
      <c r="H395" s="80"/>
      <c r="I395" s="80"/>
      <c r="J395" s="80"/>
      <c r="Q395" s="108"/>
      <c r="AL395" s="28"/>
      <c r="BA395" s="89"/>
    </row>
    <row r="396" spans="1:53" x14ac:dyDescent="0.3">
      <c r="A396" s="144"/>
      <c r="B396" s="28"/>
      <c r="D396" s="28"/>
      <c r="F396" s="79"/>
      <c r="G396" s="80"/>
      <c r="H396" s="80"/>
      <c r="I396" s="80"/>
      <c r="J396" s="80"/>
      <c r="Q396" s="108"/>
      <c r="AL396" s="28"/>
      <c r="BA396" s="89"/>
    </row>
    <row r="397" spans="1:53" x14ac:dyDescent="0.3">
      <c r="A397" s="144"/>
      <c r="B397" s="28"/>
      <c r="D397" s="28"/>
      <c r="F397" s="79"/>
      <c r="G397" s="80"/>
      <c r="H397" s="80"/>
      <c r="I397" s="80"/>
      <c r="J397" s="80"/>
      <c r="Q397" s="108"/>
      <c r="AL397" s="28"/>
      <c r="BA397" s="89"/>
    </row>
    <row r="398" spans="1:53" x14ac:dyDescent="0.3">
      <c r="A398" s="144"/>
      <c r="B398" s="28"/>
      <c r="D398" s="28"/>
      <c r="F398" s="79"/>
      <c r="G398" s="80"/>
      <c r="H398" s="80"/>
      <c r="I398" s="80"/>
      <c r="J398" s="80"/>
      <c r="Q398" s="108"/>
      <c r="AL398" s="28"/>
      <c r="BA398" s="89"/>
    </row>
    <row r="399" spans="1:53" x14ac:dyDescent="0.3">
      <c r="A399" s="144"/>
      <c r="B399" s="28"/>
      <c r="D399" s="28"/>
      <c r="F399" s="79"/>
      <c r="G399" s="80"/>
      <c r="H399" s="80"/>
      <c r="I399" s="80"/>
      <c r="J399" s="80"/>
      <c r="Q399" s="108"/>
      <c r="AL399" s="28"/>
      <c r="BA399" s="89"/>
    </row>
    <row r="400" spans="1:53" x14ac:dyDescent="0.3">
      <c r="A400" s="144"/>
      <c r="B400" s="28"/>
      <c r="D400" s="28"/>
      <c r="F400" s="79"/>
      <c r="G400" s="80"/>
      <c r="H400" s="80"/>
      <c r="I400" s="80"/>
      <c r="J400" s="80"/>
      <c r="Q400" s="108"/>
      <c r="AL400" s="28"/>
      <c r="BA400" s="89"/>
    </row>
    <row r="401" spans="1:53" x14ac:dyDescent="0.3">
      <c r="A401" s="144"/>
      <c r="B401" s="28"/>
      <c r="D401" s="28"/>
      <c r="F401" s="79"/>
      <c r="G401" s="80"/>
      <c r="H401" s="80"/>
      <c r="I401" s="80"/>
      <c r="J401" s="80"/>
      <c r="Q401" s="108"/>
      <c r="AL401" s="28"/>
      <c r="BA401" s="89"/>
    </row>
    <row r="402" spans="1:53" x14ac:dyDescent="0.3">
      <c r="A402" s="144"/>
      <c r="B402" s="28"/>
      <c r="D402" s="28"/>
      <c r="F402" s="79"/>
      <c r="G402" s="80"/>
      <c r="H402" s="80"/>
      <c r="I402" s="80"/>
      <c r="J402" s="80"/>
      <c r="Q402" s="108"/>
      <c r="AL402" s="28"/>
      <c r="BA402" s="89"/>
    </row>
    <row r="403" spans="1:53" x14ac:dyDescent="0.3">
      <c r="A403" s="144"/>
      <c r="B403" s="28"/>
      <c r="D403" s="28"/>
    </row>
    <row r="404" spans="1:53" x14ac:dyDescent="0.3">
      <c r="A404" s="144"/>
      <c r="B404" s="28"/>
      <c r="D404" s="28"/>
      <c r="AL404" s="28"/>
    </row>
    <row r="405" spans="1:53" x14ac:dyDescent="0.3">
      <c r="A405" s="144"/>
      <c r="B405" s="28"/>
      <c r="D405" s="28"/>
      <c r="G405" s="80"/>
      <c r="H405" s="80"/>
      <c r="I405" s="80"/>
      <c r="J405" s="80"/>
      <c r="Q405" s="104"/>
      <c r="AL405" s="28"/>
      <c r="BA405" s="89"/>
    </row>
    <row r="406" spans="1:53" x14ac:dyDescent="0.3">
      <c r="A406" s="144"/>
      <c r="B406" s="28"/>
      <c r="D406" s="28"/>
      <c r="F406" s="102"/>
      <c r="G406" s="80"/>
      <c r="H406" s="80"/>
      <c r="I406" s="80"/>
      <c r="J406" s="80"/>
      <c r="Q406" s="104"/>
      <c r="AL406" s="28"/>
    </row>
    <row r="407" spans="1:53" x14ac:dyDescent="0.3">
      <c r="A407" s="144"/>
      <c r="B407" s="28"/>
      <c r="D407" s="28"/>
      <c r="F407" s="102"/>
      <c r="G407" s="80"/>
      <c r="H407" s="80"/>
      <c r="I407" s="80"/>
      <c r="J407" s="97"/>
      <c r="Q407" s="108"/>
      <c r="AL407" s="28"/>
      <c r="BA407" s="89"/>
    </row>
    <row r="408" spans="1:53" x14ac:dyDescent="0.3">
      <c r="A408" s="144"/>
      <c r="B408" s="28"/>
      <c r="D408" s="28"/>
      <c r="F408" s="79"/>
      <c r="G408" s="80"/>
      <c r="H408" s="80"/>
      <c r="I408" s="80"/>
      <c r="J408" s="13"/>
      <c r="Q408" s="108"/>
      <c r="AL408" s="28"/>
      <c r="BA408" s="89"/>
    </row>
    <row r="409" spans="1:53" x14ac:dyDescent="0.3">
      <c r="A409" s="144"/>
      <c r="B409" s="28"/>
      <c r="D409" s="28"/>
      <c r="F409" s="79"/>
      <c r="G409" s="80"/>
      <c r="H409" s="80"/>
      <c r="I409" s="80"/>
      <c r="J409" s="80"/>
      <c r="Q409" s="104"/>
      <c r="AL409" s="28"/>
    </row>
    <row r="410" spans="1:53" x14ac:dyDescent="0.3">
      <c r="A410" s="144"/>
      <c r="B410" s="28"/>
      <c r="D410" s="28"/>
      <c r="G410" s="80"/>
      <c r="H410" s="80"/>
      <c r="I410" s="80"/>
      <c r="J410" s="80"/>
      <c r="Q410" s="104"/>
      <c r="AL410" s="28"/>
    </row>
    <row r="411" spans="1:53" x14ac:dyDescent="0.3">
      <c r="A411" s="144"/>
      <c r="B411" s="28"/>
      <c r="D411" s="28"/>
      <c r="F411" s="79"/>
      <c r="G411" s="80"/>
      <c r="H411" s="80"/>
      <c r="I411" s="80"/>
      <c r="J411" s="80"/>
      <c r="Q411" s="104"/>
      <c r="AL411" s="28"/>
    </row>
    <row r="412" spans="1:53" x14ac:dyDescent="0.3">
      <c r="A412" s="144"/>
      <c r="B412" s="28"/>
      <c r="D412" s="28"/>
      <c r="AL412" s="28"/>
    </row>
    <row r="413" spans="1:53" x14ac:dyDescent="0.3">
      <c r="A413" s="144"/>
      <c r="B413" s="28"/>
      <c r="D413" s="28"/>
      <c r="AL413" s="28"/>
    </row>
    <row r="414" spans="1:53" x14ac:dyDescent="0.3">
      <c r="A414" s="144"/>
      <c r="B414" s="28"/>
      <c r="D414" s="28"/>
    </row>
    <row r="415" spans="1:53" x14ac:dyDescent="0.3">
      <c r="A415" s="144"/>
      <c r="B415" s="28"/>
      <c r="D415" s="28"/>
    </row>
    <row r="416" spans="1:53" x14ac:dyDescent="0.3">
      <c r="A416" s="144"/>
      <c r="B416" s="28"/>
      <c r="D416" s="28"/>
    </row>
    <row r="417" spans="1:55" x14ac:dyDescent="0.3">
      <c r="A417" s="144"/>
      <c r="B417" s="28"/>
      <c r="D417" s="28"/>
    </row>
    <row r="418" spans="1:55" x14ac:dyDescent="0.3">
      <c r="A418" s="144"/>
      <c r="B418" s="28"/>
      <c r="D418" s="28"/>
    </row>
    <row r="419" spans="1:55" x14ac:dyDescent="0.3">
      <c r="A419" s="144"/>
      <c r="B419" s="28"/>
      <c r="D419" s="28"/>
    </row>
    <row r="420" spans="1:55" x14ac:dyDescent="0.3">
      <c r="A420" s="144"/>
      <c r="B420" s="28"/>
      <c r="D420" s="28"/>
    </row>
    <row r="421" spans="1:55" ht="3.9" customHeight="1" x14ac:dyDescent="0.3">
      <c r="A421" s="46"/>
      <c r="B421" s="73"/>
      <c r="C421" s="73"/>
      <c r="D421" s="73"/>
      <c r="E421" s="73"/>
      <c r="F421" s="74"/>
      <c r="G421" s="46"/>
      <c r="H421" s="46"/>
      <c r="I421" s="46"/>
      <c r="J421" s="46"/>
      <c r="K421" s="46"/>
      <c r="L421" s="75"/>
      <c r="M421" s="76"/>
      <c r="N421" s="77"/>
      <c r="O421" s="46"/>
      <c r="P421" s="75"/>
      <c r="Q421" s="142"/>
      <c r="R421" s="46"/>
      <c r="S421" s="78"/>
      <c r="T421" s="78"/>
      <c r="U421" s="78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  <c r="AG421" s="46"/>
      <c r="AH421" s="46"/>
      <c r="AI421" s="46"/>
      <c r="AJ421" s="46"/>
      <c r="AK421" s="46"/>
      <c r="AL421" s="46"/>
      <c r="AM421" s="46"/>
      <c r="AN421" s="46"/>
      <c r="AO421" s="46"/>
      <c r="AP421" s="109"/>
      <c r="AQ421" s="109"/>
      <c r="AR421" s="46"/>
      <c r="AS421" s="46"/>
      <c r="AT421" s="46"/>
      <c r="AU421" s="46"/>
      <c r="AV421" s="46"/>
      <c r="AW421" s="46"/>
      <c r="AX421" s="46"/>
      <c r="AY421" s="46"/>
      <c r="AZ421" s="46"/>
      <c r="BA421" s="46"/>
      <c r="BB421" s="46"/>
      <c r="BC421" s="46"/>
    </row>
    <row r="422" spans="1:55" x14ac:dyDescent="0.3">
      <c r="A422" s="144" t="s">
        <v>53</v>
      </c>
      <c r="B422" s="28"/>
      <c r="D422" s="28"/>
      <c r="J422" s="13"/>
      <c r="Q422" s="104"/>
      <c r="V422" s="13"/>
      <c r="AL422" s="28"/>
      <c r="BA422" s="89"/>
    </row>
    <row r="423" spans="1:55" x14ac:dyDescent="0.3">
      <c r="A423" s="144"/>
      <c r="B423" s="28"/>
      <c r="D423" s="28"/>
      <c r="Q423" s="107"/>
      <c r="V423" s="13"/>
      <c r="AL423" s="28"/>
      <c r="BA423" s="89"/>
    </row>
    <row r="424" spans="1:55" x14ac:dyDescent="0.3">
      <c r="A424" s="144"/>
      <c r="B424" s="28"/>
      <c r="D424" s="28"/>
      <c r="Q424" s="108"/>
      <c r="V424" s="13"/>
      <c r="AL424" s="28"/>
      <c r="BA424" s="89"/>
    </row>
    <row r="425" spans="1:55" x14ac:dyDescent="0.3">
      <c r="A425" s="144"/>
      <c r="B425" s="28"/>
      <c r="D425" s="28"/>
      <c r="V425" s="13"/>
      <c r="AL425" s="28"/>
    </row>
    <row r="426" spans="1:55" x14ac:dyDescent="0.3">
      <c r="A426" s="144"/>
      <c r="B426" s="28"/>
      <c r="D426" s="28"/>
      <c r="Q426" s="108"/>
      <c r="V426" s="13"/>
      <c r="AL426" s="28"/>
      <c r="BA426" s="89"/>
    </row>
    <row r="427" spans="1:55" x14ac:dyDescent="0.3">
      <c r="A427" s="144"/>
      <c r="B427" s="28"/>
      <c r="D427" s="28"/>
      <c r="V427" s="13"/>
      <c r="BA427" s="89"/>
    </row>
    <row r="428" spans="1:55" x14ac:dyDescent="0.3">
      <c r="A428" s="144"/>
      <c r="B428" s="28"/>
      <c r="D428" s="28"/>
      <c r="J428" s="97"/>
      <c r="V428" s="13"/>
      <c r="AL428" s="28"/>
      <c r="BA428" s="89"/>
    </row>
    <row r="429" spans="1:55" x14ac:dyDescent="0.3">
      <c r="A429" s="144"/>
      <c r="B429" s="28"/>
      <c r="D429" s="28"/>
      <c r="V429" s="13"/>
      <c r="AL429" s="28"/>
      <c r="BA429" s="89"/>
    </row>
    <row r="430" spans="1:55" x14ac:dyDescent="0.3">
      <c r="A430" s="144"/>
      <c r="B430" s="28"/>
      <c r="D430" s="28"/>
      <c r="J430" s="97"/>
      <c r="Q430" s="108"/>
      <c r="V430" s="13"/>
      <c r="AL430" s="28"/>
      <c r="BA430" s="89"/>
    </row>
    <row r="431" spans="1:55" x14ac:dyDescent="0.3">
      <c r="A431" s="144"/>
      <c r="B431" s="28"/>
      <c r="D431" s="28"/>
      <c r="Q431" s="104"/>
      <c r="V431" s="13"/>
      <c r="AL431" s="28"/>
      <c r="BA431" s="89"/>
    </row>
    <row r="432" spans="1:55" x14ac:dyDescent="0.3">
      <c r="A432" s="144"/>
      <c r="B432" s="28"/>
      <c r="D432" s="28"/>
      <c r="V432" s="13"/>
    </row>
    <row r="433" spans="1:53" x14ac:dyDescent="0.3">
      <c r="A433" s="144"/>
      <c r="B433" s="28"/>
      <c r="D433" s="28"/>
      <c r="V433" s="13"/>
      <c r="AL433" s="28"/>
      <c r="BA433" s="89"/>
    </row>
    <row r="434" spans="1:53" x14ac:dyDescent="0.3">
      <c r="A434" s="144"/>
      <c r="B434" s="28"/>
      <c r="D434" s="28"/>
      <c r="V434" s="13"/>
      <c r="AL434" s="28"/>
      <c r="BA434" s="89"/>
    </row>
    <row r="435" spans="1:53" x14ac:dyDescent="0.3">
      <c r="A435" s="144"/>
      <c r="B435" s="28"/>
      <c r="D435" s="28"/>
      <c r="J435" s="13"/>
      <c r="Q435" s="107"/>
      <c r="V435" s="13"/>
      <c r="AL435" s="28"/>
      <c r="BA435" s="89"/>
    </row>
    <row r="436" spans="1:53" x14ac:dyDescent="0.3">
      <c r="A436" s="144"/>
      <c r="B436" s="28"/>
      <c r="D436" s="28"/>
      <c r="Q436" s="108"/>
      <c r="V436" s="13"/>
      <c r="AL436" s="28"/>
      <c r="BA436" s="89"/>
    </row>
    <row r="437" spans="1:53" x14ac:dyDescent="0.3">
      <c r="A437" s="144"/>
      <c r="B437" s="28"/>
      <c r="D437" s="28"/>
      <c r="J437" s="80"/>
      <c r="Q437" s="108"/>
      <c r="V437" s="13"/>
      <c r="AL437" s="28"/>
      <c r="BA437" s="89"/>
    </row>
    <row r="438" spans="1:53" x14ac:dyDescent="0.3">
      <c r="A438" s="144"/>
      <c r="B438" s="28"/>
      <c r="D438" s="28"/>
      <c r="J438" s="13"/>
      <c r="V438" s="13"/>
      <c r="AL438" s="28"/>
      <c r="BA438" s="89"/>
    </row>
    <row r="439" spans="1:53" x14ac:dyDescent="0.3">
      <c r="A439" s="144"/>
      <c r="B439" s="28"/>
      <c r="D439" s="28"/>
      <c r="Q439" s="108"/>
      <c r="V439" s="13"/>
      <c r="AL439" s="28"/>
      <c r="BA439" s="89"/>
    </row>
    <row r="440" spans="1:53" x14ac:dyDescent="0.3">
      <c r="A440" s="144"/>
      <c r="B440" s="28"/>
      <c r="D440" s="28"/>
      <c r="J440" s="13"/>
      <c r="Q440" s="104"/>
      <c r="V440" s="13"/>
      <c r="AL440" s="28"/>
      <c r="BA440" s="89"/>
    </row>
    <row r="441" spans="1:53" x14ac:dyDescent="0.3">
      <c r="A441" s="144"/>
      <c r="B441" s="28"/>
      <c r="D441" s="28"/>
      <c r="J441" s="13"/>
      <c r="Q441" s="108"/>
      <c r="V441" s="13"/>
      <c r="AL441" s="28"/>
      <c r="BA441" s="89"/>
    </row>
    <row r="442" spans="1:53" x14ac:dyDescent="0.3">
      <c r="A442" s="144"/>
      <c r="B442" s="28"/>
      <c r="D442" s="28"/>
      <c r="J442" s="13"/>
      <c r="Q442" s="104"/>
      <c r="V442" s="13"/>
      <c r="AL442" s="28"/>
      <c r="BA442" s="89"/>
    </row>
    <row r="443" spans="1:53" x14ac:dyDescent="0.3">
      <c r="A443" s="144"/>
      <c r="B443" s="28"/>
      <c r="D443" s="28"/>
      <c r="V443" s="13"/>
      <c r="BA443" s="89"/>
    </row>
    <row r="444" spans="1:53" x14ac:dyDescent="0.3">
      <c r="A444" s="144"/>
      <c r="B444" s="28"/>
      <c r="D444" s="28"/>
      <c r="V444" s="13"/>
      <c r="AL444" s="28"/>
      <c r="BA444" s="89"/>
    </row>
    <row r="445" spans="1:53" x14ac:dyDescent="0.3">
      <c r="A445" s="144"/>
      <c r="B445" s="28"/>
      <c r="D445" s="28"/>
      <c r="V445" s="13"/>
      <c r="AL445" s="28"/>
      <c r="BA445" s="89"/>
    </row>
    <row r="446" spans="1:53" x14ac:dyDescent="0.3">
      <c r="A446" s="144"/>
      <c r="B446" s="28"/>
      <c r="D446" s="28"/>
      <c r="Q446" s="107"/>
      <c r="V446" s="13"/>
      <c r="AL446" s="28"/>
      <c r="BA446" s="89"/>
    </row>
    <row r="447" spans="1:53" x14ac:dyDescent="0.3">
      <c r="A447" s="144"/>
      <c r="B447" s="28"/>
      <c r="D447" s="28"/>
      <c r="V447" s="13"/>
      <c r="AL447" s="28"/>
      <c r="BA447" s="89"/>
    </row>
    <row r="448" spans="1:53" x14ac:dyDescent="0.3">
      <c r="A448" s="144"/>
      <c r="B448" s="28"/>
      <c r="D448" s="28"/>
      <c r="J448" s="87"/>
      <c r="Q448" s="104"/>
      <c r="V448" s="13"/>
      <c r="AL448" s="28"/>
      <c r="BA448" s="89"/>
    </row>
    <row r="449" spans="1:53" x14ac:dyDescent="0.3">
      <c r="A449" s="144"/>
      <c r="B449" s="28"/>
      <c r="D449" s="28"/>
      <c r="Q449" s="108"/>
      <c r="V449" s="13"/>
      <c r="AL449" s="28"/>
      <c r="BA449" s="89"/>
    </row>
    <row r="450" spans="1:53" x14ac:dyDescent="0.3">
      <c r="A450" s="144"/>
      <c r="B450" s="28"/>
      <c r="D450" s="28"/>
      <c r="J450" s="80"/>
      <c r="Q450" s="104"/>
      <c r="V450" s="13"/>
      <c r="AL450" s="28"/>
    </row>
    <row r="451" spans="1:53" x14ac:dyDescent="0.3">
      <c r="A451" s="144"/>
      <c r="B451" s="28"/>
      <c r="D451" s="28"/>
      <c r="J451" s="13"/>
      <c r="Q451" s="104"/>
      <c r="V451" s="13"/>
      <c r="AL451" s="28"/>
      <c r="BA451" s="89"/>
    </row>
    <row r="452" spans="1:53" x14ac:dyDescent="0.3">
      <c r="A452" s="144"/>
      <c r="B452" s="28"/>
      <c r="D452" s="28"/>
      <c r="J452" s="87"/>
      <c r="V452" s="13"/>
      <c r="AL452" s="28"/>
      <c r="BA452" s="89"/>
    </row>
    <row r="453" spans="1:53" x14ac:dyDescent="0.3">
      <c r="A453" s="144"/>
      <c r="B453" s="28"/>
      <c r="D453" s="28"/>
      <c r="J453" s="80"/>
      <c r="Q453" s="104"/>
      <c r="V453" s="13"/>
      <c r="AL453" s="28"/>
      <c r="BA453" s="89"/>
    </row>
    <row r="454" spans="1:53" x14ac:dyDescent="0.3">
      <c r="A454" s="144"/>
      <c r="B454" s="28"/>
      <c r="D454" s="28"/>
      <c r="V454" s="13"/>
      <c r="BA454" s="89"/>
    </row>
    <row r="455" spans="1:53" x14ac:dyDescent="0.3">
      <c r="A455" s="144"/>
      <c r="B455" s="28"/>
      <c r="D455" s="28"/>
      <c r="V455" s="13"/>
      <c r="AL455" s="28"/>
      <c r="BA455" s="89"/>
    </row>
    <row r="456" spans="1:53" x14ac:dyDescent="0.3">
      <c r="A456" s="144"/>
      <c r="B456" s="28"/>
      <c r="D456" s="28"/>
      <c r="Q456" s="104"/>
      <c r="V456" s="13"/>
      <c r="AL456" s="28"/>
      <c r="BA456" s="89"/>
    </row>
    <row r="457" spans="1:53" x14ac:dyDescent="0.3">
      <c r="A457" s="144"/>
      <c r="B457" s="28"/>
      <c r="D457" s="28"/>
      <c r="Q457" s="104"/>
      <c r="V457" s="13"/>
      <c r="AL457" s="28"/>
      <c r="BA457" s="89"/>
    </row>
    <row r="458" spans="1:53" x14ac:dyDescent="0.3">
      <c r="A458" s="144"/>
      <c r="B458" s="28"/>
      <c r="D458" s="28"/>
      <c r="F458" s="102"/>
      <c r="Q458" s="104"/>
      <c r="V458" s="13"/>
      <c r="AL458" s="28"/>
      <c r="BA458" s="89"/>
    </row>
    <row r="459" spans="1:53" x14ac:dyDescent="0.3">
      <c r="A459" s="144"/>
      <c r="B459" s="28"/>
      <c r="D459" s="28"/>
      <c r="V459" s="13"/>
      <c r="BA459" s="89"/>
    </row>
    <row r="460" spans="1:53" x14ac:dyDescent="0.3">
      <c r="A460" s="144"/>
      <c r="B460" s="28"/>
      <c r="D460" s="28"/>
      <c r="Q460" s="104"/>
      <c r="V460" s="13"/>
      <c r="AL460" s="28"/>
      <c r="BA460" s="89"/>
    </row>
    <row r="461" spans="1:53" x14ac:dyDescent="0.3">
      <c r="A461" s="144"/>
      <c r="B461" s="28"/>
      <c r="D461" s="28"/>
      <c r="F461" s="85"/>
      <c r="Q461" s="104"/>
      <c r="V461" s="13"/>
      <c r="AL461" s="28"/>
      <c r="BA461" s="89"/>
    </row>
    <row r="462" spans="1:53" x14ac:dyDescent="0.3">
      <c r="A462" s="144"/>
      <c r="B462" s="28"/>
      <c r="D462" s="28"/>
      <c r="F462" s="102"/>
      <c r="Q462" s="107"/>
      <c r="V462" s="13"/>
      <c r="AL462" s="28"/>
      <c r="BA462" s="89"/>
    </row>
    <row r="463" spans="1:53" x14ac:dyDescent="0.3">
      <c r="A463" s="144"/>
      <c r="B463" s="28"/>
      <c r="D463" s="28"/>
      <c r="F463" s="85"/>
      <c r="Q463" s="108"/>
      <c r="V463" s="13"/>
      <c r="AL463" s="28"/>
      <c r="BA463" s="89"/>
    </row>
    <row r="464" spans="1:53" x14ac:dyDescent="0.3">
      <c r="A464" s="144"/>
      <c r="B464" s="28"/>
      <c r="D464" s="28"/>
      <c r="Q464" s="108"/>
      <c r="V464" s="13"/>
      <c r="AL464" s="28"/>
      <c r="BA464" s="89"/>
    </row>
    <row r="465" spans="1:53" x14ac:dyDescent="0.3">
      <c r="A465" s="144"/>
      <c r="B465" s="28"/>
      <c r="D465" s="28"/>
      <c r="J465" s="97"/>
      <c r="Q465" s="108"/>
      <c r="V465" s="13"/>
      <c r="AL465" s="28"/>
      <c r="BA465" s="89"/>
    </row>
    <row r="466" spans="1:53" x14ac:dyDescent="0.3">
      <c r="A466" s="144"/>
      <c r="B466" s="28"/>
      <c r="D466" s="28"/>
      <c r="J466" s="97"/>
      <c r="Q466" s="104"/>
      <c r="V466" s="13"/>
      <c r="AL466" s="28"/>
      <c r="BA466" s="89"/>
    </row>
    <row r="467" spans="1:53" x14ac:dyDescent="0.3">
      <c r="A467" s="144"/>
      <c r="B467" s="28"/>
      <c r="D467" s="28"/>
      <c r="V467" s="13"/>
      <c r="AL467" s="28"/>
      <c r="BA467" s="89"/>
    </row>
    <row r="468" spans="1:53" x14ac:dyDescent="0.3">
      <c r="A468" s="144"/>
      <c r="B468" s="28"/>
      <c r="D468" s="28"/>
      <c r="F468" s="102"/>
      <c r="Q468" s="107"/>
      <c r="V468" s="13"/>
      <c r="AL468" s="28"/>
      <c r="BA468" s="89"/>
    </row>
    <row r="469" spans="1:53" x14ac:dyDescent="0.3">
      <c r="A469" s="144"/>
      <c r="B469" s="28"/>
      <c r="D469" s="28"/>
      <c r="J469" s="13"/>
      <c r="Q469" s="104"/>
      <c r="V469" s="13"/>
      <c r="AL469" s="28"/>
      <c r="BA469" s="89"/>
    </row>
    <row r="470" spans="1:53" x14ac:dyDescent="0.3">
      <c r="A470" s="144"/>
      <c r="B470" s="28"/>
      <c r="D470" s="28"/>
      <c r="J470" s="80"/>
      <c r="Q470" s="108"/>
      <c r="V470" s="13"/>
      <c r="AL470" s="28"/>
      <c r="BA470" s="89"/>
    </row>
    <row r="471" spans="1:53" x14ac:dyDescent="0.3">
      <c r="A471" s="144"/>
      <c r="B471" s="28"/>
      <c r="D471" s="28"/>
      <c r="J471" s="87"/>
      <c r="V471" s="13"/>
      <c r="AL471" s="28"/>
      <c r="BA471" s="89"/>
    </row>
    <row r="472" spans="1:53" x14ac:dyDescent="0.3">
      <c r="A472" s="144"/>
      <c r="B472" s="28"/>
      <c r="D472" s="28"/>
      <c r="F472" s="102"/>
      <c r="G472" s="80"/>
      <c r="H472" s="80"/>
      <c r="I472" s="80"/>
      <c r="J472" s="87"/>
      <c r="V472" s="13"/>
      <c r="AL472" s="28"/>
      <c r="BA472" s="89"/>
    </row>
    <row r="473" spans="1:53" x14ac:dyDescent="0.3">
      <c r="A473" s="144"/>
      <c r="B473" s="28"/>
      <c r="D473" s="28"/>
      <c r="Q473" s="108"/>
      <c r="V473" s="13"/>
      <c r="AL473" s="28"/>
      <c r="BA473" s="89"/>
    </row>
    <row r="474" spans="1:53" x14ac:dyDescent="0.3">
      <c r="A474" s="144"/>
      <c r="B474" s="28"/>
      <c r="D474" s="28"/>
      <c r="J474" s="13"/>
      <c r="AL474" s="28"/>
      <c r="BA474" s="89"/>
    </row>
    <row r="475" spans="1:53" x14ac:dyDescent="0.3">
      <c r="A475" s="144"/>
      <c r="B475" s="28"/>
      <c r="D475" s="28"/>
      <c r="F475" s="85"/>
      <c r="J475" s="97"/>
      <c r="Q475" s="104"/>
      <c r="AL475" s="28"/>
    </row>
    <row r="476" spans="1:53" x14ac:dyDescent="0.3">
      <c r="A476" s="144"/>
      <c r="B476" s="28"/>
      <c r="D476" s="28"/>
      <c r="J476" s="13"/>
      <c r="Q476" s="104"/>
      <c r="V476" s="13"/>
      <c r="AL476" s="28"/>
      <c r="BA476" s="89"/>
    </row>
    <row r="477" spans="1:53" x14ac:dyDescent="0.3">
      <c r="A477" s="144"/>
      <c r="B477" s="28"/>
      <c r="D477" s="28"/>
      <c r="Q477" s="104"/>
      <c r="V477" s="13"/>
      <c r="AL477" s="28"/>
      <c r="BA477" s="89"/>
    </row>
    <row r="478" spans="1:53" x14ac:dyDescent="0.3">
      <c r="A478" s="144"/>
      <c r="B478" s="28"/>
      <c r="D478" s="28"/>
      <c r="F478" s="79"/>
      <c r="G478" s="80"/>
      <c r="H478" s="80"/>
      <c r="I478" s="80"/>
      <c r="J478" s="80"/>
      <c r="AL478" s="28"/>
      <c r="BA478" s="89"/>
    </row>
    <row r="479" spans="1:53" x14ac:dyDescent="0.3">
      <c r="A479" s="144"/>
      <c r="B479" s="28"/>
      <c r="D479" s="28"/>
      <c r="V479" s="13"/>
      <c r="BA479" s="89"/>
    </row>
    <row r="480" spans="1:53" x14ac:dyDescent="0.3">
      <c r="A480" s="144"/>
      <c r="B480" s="28"/>
      <c r="D480" s="28"/>
      <c r="F480" s="85"/>
      <c r="J480" s="13"/>
      <c r="Q480" s="108"/>
      <c r="V480" s="13"/>
      <c r="AL480" s="28"/>
      <c r="BA480" s="89"/>
    </row>
    <row r="481" spans="1:53" x14ac:dyDescent="0.3">
      <c r="A481" s="144"/>
      <c r="B481" s="28"/>
      <c r="D481" s="28"/>
      <c r="Q481" s="104"/>
      <c r="AL481" s="28"/>
    </row>
    <row r="482" spans="1:53" x14ac:dyDescent="0.3">
      <c r="A482" s="144"/>
      <c r="B482" s="28"/>
      <c r="D482" s="28"/>
      <c r="J482" s="13"/>
      <c r="Q482" s="104"/>
      <c r="AL482" s="28"/>
      <c r="BA482" s="89"/>
    </row>
    <row r="483" spans="1:53" x14ac:dyDescent="0.3">
      <c r="A483" s="144"/>
      <c r="B483" s="28"/>
      <c r="D483" s="28"/>
      <c r="J483" s="13"/>
      <c r="Q483" s="104"/>
      <c r="AL483" s="28"/>
      <c r="BA483" s="89"/>
    </row>
    <row r="484" spans="1:53" x14ac:dyDescent="0.3">
      <c r="A484" s="144"/>
      <c r="B484" s="28"/>
      <c r="D484" s="28"/>
      <c r="AL484" s="28"/>
      <c r="BA484" s="89"/>
    </row>
    <row r="485" spans="1:53" x14ac:dyDescent="0.3">
      <c r="A485" s="144"/>
      <c r="B485" s="28"/>
      <c r="D485" s="28"/>
      <c r="J485" s="80"/>
      <c r="Q485" s="108"/>
      <c r="AL485" s="28"/>
      <c r="BA485" s="89"/>
    </row>
    <row r="486" spans="1:53" x14ac:dyDescent="0.3">
      <c r="A486" s="144"/>
      <c r="B486" s="28"/>
      <c r="D486" s="28"/>
      <c r="V486" s="13"/>
      <c r="BA486" s="89"/>
    </row>
    <row r="487" spans="1:53" x14ac:dyDescent="0.3">
      <c r="A487" s="144"/>
      <c r="B487" s="28"/>
      <c r="D487" s="28"/>
      <c r="J487" s="13"/>
      <c r="Q487" s="107"/>
      <c r="V487" s="13"/>
      <c r="AL487" s="28"/>
    </row>
    <row r="488" spans="1:53" x14ac:dyDescent="0.3">
      <c r="A488" s="144"/>
      <c r="B488" s="28"/>
      <c r="D488" s="28"/>
      <c r="F488" s="85"/>
      <c r="J488" s="97"/>
      <c r="Q488" s="108"/>
      <c r="V488" s="13"/>
      <c r="AL488" s="28"/>
      <c r="BA488" s="89"/>
    </row>
    <row r="489" spans="1:53" x14ac:dyDescent="0.3">
      <c r="A489" s="144"/>
      <c r="B489" s="28"/>
      <c r="D489" s="28"/>
      <c r="J489" s="13"/>
      <c r="V489" s="13"/>
      <c r="AL489" s="28"/>
      <c r="BA489" s="89"/>
    </row>
    <row r="490" spans="1:53" x14ac:dyDescent="0.3">
      <c r="A490" s="144"/>
      <c r="B490" s="28"/>
      <c r="D490" s="28"/>
      <c r="J490" s="80"/>
      <c r="Q490" s="108"/>
      <c r="AL490" s="28"/>
      <c r="BA490" s="89"/>
    </row>
    <row r="491" spans="1:53" x14ac:dyDescent="0.3">
      <c r="A491" s="144"/>
      <c r="B491" s="28"/>
      <c r="D491" s="28"/>
      <c r="AL491" s="28"/>
      <c r="BA491" s="89"/>
    </row>
    <row r="492" spans="1:53" x14ac:dyDescent="0.3">
      <c r="A492" s="144"/>
      <c r="B492" s="28"/>
      <c r="D492" s="28"/>
      <c r="J492" s="80"/>
      <c r="Q492" s="108"/>
      <c r="AL492" s="28"/>
    </row>
    <row r="493" spans="1:53" x14ac:dyDescent="0.3">
      <c r="A493" s="144"/>
      <c r="B493" s="28"/>
      <c r="D493" s="28"/>
      <c r="F493" s="102"/>
      <c r="J493" s="13"/>
      <c r="Q493" s="104"/>
      <c r="AL493" s="28"/>
      <c r="BA493" s="89"/>
    </row>
    <row r="494" spans="1:53" x14ac:dyDescent="0.3">
      <c r="A494" s="144"/>
      <c r="B494" s="28"/>
      <c r="D494" s="28"/>
      <c r="Q494" s="108"/>
      <c r="AL494" s="28"/>
      <c r="BA494" s="89"/>
    </row>
    <row r="495" spans="1:53" x14ac:dyDescent="0.3">
      <c r="A495" s="144"/>
      <c r="B495" s="28"/>
      <c r="D495" s="28"/>
      <c r="AL495" s="28"/>
      <c r="BA495" s="89"/>
    </row>
    <row r="496" spans="1:53" x14ac:dyDescent="0.3">
      <c r="A496" s="144"/>
      <c r="B496" s="28"/>
      <c r="D496" s="28"/>
      <c r="J496" s="80"/>
      <c r="Q496" s="108"/>
      <c r="AL496" s="28"/>
      <c r="BA496" s="89"/>
    </row>
    <row r="497" spans="1:53" x14ac:dyDescent="0.3">
      <c r="A497" s="144"/>
      <c r="B497" s="28"/>
      <c r="D497" s="28"/>
      <c r="F497" s="79"/>
      <c r="G497" s="80"/>
      <c r="H497" s="80"/>
      <c r="I497" s="80"/>
      <c r="J497" s="80"/>
      <c r="AL497" s="28"/>
      <c r="BA497" s="89"/>
    </row>
    <row r="498" spans="1:53" x14ac:dyDescent="0.3">
      <c r="A498" s="144"/>
      <c r="B498" s="28"/>
      <c r="D498" s="28"/>
    </row>
    <row r="499" spans="1:53" x14ac:dyDescent="0.3">
      <c r="A499" s="144"/>
      <c r="B499" s="28"/>
      <c r="D499" s="28"/>
    </row>
    <row r="500" spans="1:53" x14ac:dyDescent="0.3">
      <c r="A500" s="144"/>
      <c r="B500" s="28"/>
      <c r="D500" s="28"/>
    </row>
    <row r="501" spans="1:53" x14ac:dyDescent="0.3">
      <c r="A501" s="144"/>
      <c r="B501" s="28"/>
      <c r="D501" s="28"/>
    </row>
    <row r="502" spans="1:53" x14ac:dyDescent="0.3">
      <c r="A502" s="144"/>
      <c r="B502" s="28"/>
      <c r="D502" s="28"/>
    </row>
    <row r="503" spans="1:53" x14ac:dyDescent="0.3">
      <c r="A503" s="144"/>
      <c r="B503" s="28"/>
      <c r="D503" s="28"/>
    </row>
    <row r="504" spans="1:53" x14ac:dyDescent="0.3">
      <c r="A504" s="144"/>
      <c r="B504" s="28"/>
      <c r="D504" s="28"/>
    </row>
    <row r="505" spans="1:53" x14ac:dyDescent="0.3">
      <c r="A505" s="144"/>
      <c r="B505" s="28"/>
      <c r="D505" s="28"/>
    </row>
    <row r="506" spans="1:53" x14ac:dyDescent="0.3">
      <c r="A506" s="144"/>
      <c r="B506" s="28"/>
      <c r="D506" s="28"/>
    </row>
    <row r="507" spans="1:53" x14ac:dyDescent="0.3">
      <c r="A507" s="144"/>
      <c r="B507" s="28"/>
      <c r="D507" s="28"/>
    </row>
    <row r="508" spans="1:53" x14ac:dyDescent="0.3">
      <c r="A508" s="144"/>
      <c r="B508" s="28"/>
      <c r="D508" s="28"/>
    </row>
    <row r="509" spans="1:53" x14ac:dyDescent="0.3">
      <c r="A509" s="144"/>
      <c r="B509" s="28"/>
      <c r="D509" s="28"/>
    </row>
    <row r="510" spans="1:53" x14ac:dyDescent="0.3">
      <c r="A510" s="144"/>
      <c r="B510" s="28"/>
      <c r="D510" s="28"/>
    </row>
    <row r="511" spans="1:53" x14ac:dyDescent="0.3">
      <c r="A511" s="144"/>
      <c r="B511" s="28"/>
      <c r="D511" s="28"/>
    </row>
    <row r="512" spans="1:53" x14ac:dyDescent="0.3">
      <c r="A512" s="144"/>
      <c r="B512" s="28"/>
      <c r="D512" s="28"/>
    </row>
    <row r="513" spans="1:55" x14ac:dyDescent="0.3">
      <c r="A513" s="144"/>
      <c r="B513" s="28"/>
      <c r="D513" s="28"/>
    </row>
    <row r="514" spans="1:55" x14ac:dyDescent="0.3">
      <c r="A514" s="144"/>
      <c r="B514" s="28"/>
      <c r="D514" s="28"/>
    </row>
    <row r="515" spans="1:55" x14ac:dyDescent="0.3">
      <c r="A515" s="144"/>
      <c r="B515" s="28"/>
      <c r="D515" s="28"/>
    </row>
    <row r="516" spans="1:55" x14ac:dyDescent="0.3">
      <c r="A516" s="144"/>
      <c r="B516" s="28"/>
      <c r="D516" s="28"/>
    </row>
    <row r="517" spans="1:55" x14ac:dyDescent="0.3">
      <c r="A517" s="144"/>
      <c r="B517" s="28"/>
      <c r="D517" s="28"/>
    </row>
    <row r="518" spans="1:55" x14ac:dyDescent="0.3">
      <c r="A518" s="144"/>
      <c r="B518" s="28"/>
      <c r="D518" s="28"/>
    </row>
    <row r="519" spans="1:55" x14ac:dyDescent="0.3">
      <c r="A519" s="144"/>
      <c r="B519" s="28"/>
      <c r="D519" s="28"/>
    </row>
    <row r="520" spans="1:55" x14ac:dyDescent="0.3">
      <c r="A520" s="144"/>
      <c r="B520" s="28"/>
      <c r="D520" s="28"/>
    </row>
    <row r="521" spans="1:55" x14ac:dyDescent="0.3">
      <c r="A521" s="144"/>
      <c r="B521" s="28"/>
      <c r="D521" s="28"/>
    </row>
    <row r="522" spans="1:55" ht="3.9" customHeight="1" x14ac:dyDescent="0.3">
      <c r="A522" s="46"/>
      <c r="B522" s="46"/>
      <c r="C522" s="73"/>
      <c r="D522" s="46"/>
      <c r="E522" s="73"/>
      <c r="F522" s="74"/>
      <c r="G522" s="46"/>
      <c r="H522" s="46"/>
      <c r="I522" s="46"/>
      <c r="J522" s="46"/>
      <c r="K522" s="46"/>
      <c r="L522" s="75"/>
      <c r="M522" s="76"/>
      <c r="N522" s="77"/>
      <c r="O522" s="46"/>
      <c r="P522" s="75"/>
      <c r="Q522" s="142"/>
      <c r="R522" s="46"/>
      <c r="S522" s="78"/>
      <c r="T522" s="78"/>
      <c r="U522" s="78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  <c r="AG522" s="46"/>
      <c r="AH522" s="46"/>
      <c r="AI522" s="46"/>
      <c r="AJ522" s="46"/>
      <c r="AK522" s="46"/>
      <c r="AL522" s="46"/>
      <c r="AM522" s="46"/>
      <c r="AN522" s="46"/>
      <c r="AO522" s="46"/>
      <c r="AP522" s="109"/>
      <c r="AQ522" s="109"/>
      <c r="AR522" s="46"/>
      <c r="AS522" s="46"/>
      <c r="AT522" s="46"/>
      <c r="AU522" s="46"/>
      <c r="AV522" s="46"/>
      <c r="AW522" s="46"/>
      <c r="AX522" s="46"/>
      <c r="AY522" s="46"/>
      <c r="AZ522" s="46"/>
      <c r="BA522" s="46"/>
      <c r="BB522" s="46"/>
      <c r="BC522" s="46"/>
    </row>
    <row r="523" spans="1:55" x14ac:dyDescent="0.3">
      <c r="A523" s="144" t="s">
        <v>52</v>
      </c>
      <c r="B523" s="28"/>
      <c r="D523" s="28"/>
      <c r="BA523" s="89"/>
    </row>
    <row r="524" spans="1:55" x14ac:dyDescent="0.3">
      <c r="A524" s="144"/>
      <c r="B524" s="28"/>
      <c r="D524" s="28"/>
    </row>
    <row r="525" spans="1:55" x14ac:dyDescent="0.3">
      <c r="A525" s="144"/>
      <c r="B525" s="28"/>
      <c r="D525" s="28"/>
      <c r="BA525" s="89"/>
    </row>
    <row r="526" spans="1:55" x14ac:dyDescent="0.3">
      <c r="A526" s="144"/>
      <c r="B526" s="28"/>
      <c r="D526" s="28"/>
      <c r="BA526" s="89"/>
    </row>
    <row r="527" spans="1:55" x14ac:dyDescent="0.3">
      <c r="A527" s="144"/>
      <c r="B527" s="28"/>
      <c r="D527" s="28"/>
      <c r="J527" s="13"/>
      <c r="AL527" s="28"/>
      <c r="BA527" s="89"/>
    </row>
    <row r="528" spans="1:55" x14ac:dyDescent="0.3">
      <c r="A528" s="144"/>
      <c r="B528" s="28"/>
      <c r="D528" s="28"/>
    </row>
    <row r="529" spans="1:53" x14ac:dyDescent="0.3">
      <c r="A529" s="144"/>
      <c r="B529" s="28"/>
      <c r="D529" s="28"/>
      <c r="BA529" s="89"/>
    </row>
    <row r="530" spans="1:53" x14ac:dyDescent="0.3">
      <c r="A530" s="144"/>
      <c r="B530" s="28"/>
      <c r="D530" s="28"/>
      <c r="J530" s="13"/>
      <c r="AL530" s="28"/>
      <c r="BA530" s="89"/>
    </row>
    <row r="531" spans="1:53" x14ac:dyDescent="0.3">
      <c r="A531" s="144"/>
      <c r="B531" s="28"/>
      <c r="D531" s="28"/>
    </row>
    <row r="532" spans="1:53" x14ac:dyDescent="0.3">
      <c r="A532" s="144"/>
      <c r="B532" s="28"/>
      <c r="D532" s="28"/>
      <c r="AL532" s="28"/>
      <c r="BA532" s="89"/>
    </row>
    <row r="533" spans="1:53" x14ac:dyDescent="0.3">
      <c r="A533" s="144"/>
      <c r="B533" s="28"/>
      <c r="D533" s="28"/>
    </row>
    <row r="534" spans="1:53" x14ac:dyDescent="0.3">
      <c r="A534" s="144"/>
      <c r="B534" s="28"/>
      <c r="D534" s="28"/>
    </row>
    <row r="535" spans="1:53" x14ac:dyDescent="0.3">
      <c r="A535" s="144"/>
      <c r="B535" s="28"/>
      <c r="D535" s="28"/>
      <c r="BA535" s="89"/>
    </row>
    <row r="536" spans="1:53" x14ac:dyDescent="0.3">
      <c r="A536" s="144"/>
      <c r="B536" s="28"/>
      <c r="D536" s="28"/>
      <c r="BA536" s="89"/>
    </row>
    <row r="537" spans="1:53" x14ac:dyDescent="0.3">
      <c r="A537" s="144"/>
      <c r="B537" s="28"/>
      <c r="D537" s="28"/>
      <c r="AL537" s="28"/>
      <c r="BA537" s="89"/>
    </row>
    <row r="538" spans="1:53" x14ac:dyDescent="0.3">
      <c r="A538" s="144"/>
      <c r="B538" s="28"/>
      <c r="D538" s="28"/>
      <c r="BA538" s="89"/>
    </row>
    <row r="539" spans="1:53" x14ac:dyDescent="0.3">
      <c r="A539" s="144"/>
      <c r="B539" s="28"/>
      <c r="D539" s="28"/>
      <c r="BA539" s="89"/>
    </row>
    <row r="540" spans="1:53" x14ac:dyDescent="0.3">
      <c r="A540" s="144"/>
      <c r="B540" s="28"/>
      <c r="D540" s="28"/>
      <c r="AL540" s="28"/>
      <c r="BA540" s="89"/>
    </row>
    <row r="541" spans="1:53" x14ac:dyDescent="0.3">
      <c r="A541" s="144"/>
      <c r="B541" s="28"/>
      <c r="D541" s="28"/>
      <c r="BA541" s="89"/>
    </row>
    <row r="542" spans="1:53" x14ac:dyDescent="0.3">
      <c r="A542" s="144"/>
      <c r="B542" s="28"/>
      <c r="D542" s="28"/>
      <c r="BA542" s="89"/>
    </row>
    <row r="543" spans="1:53" x14ac:dyDescent="0.3">
      <c r="A543" s="144"/>
      <c r="B543" s="28"/>
      <c r="D543" s="28"/>
      <c r="BA543" s="89"/>
    </row>
    <row r="544" spans="1:53" x14ac:dyDescent="0.3">
      <c r="A544" s="144"/>
      <c r="B544" s="28"/>
      <c r="D544" s="28"/>
    </row>
    <row r="545" spans="1:53" x14ac:dyDescent="0.3">
      <c r="A545" s="144"/>
      <c r="B545" s="28"/>
      <c r="D545" s="28"/>
      <c r="BA545" s="89"/>
    </row>
    <row r="546" spans="1:53" x14ac:dyDescent="0.3">
      <c r="A546" s="144"/>
      <c r="B546" s="28"/>
      <c r="D546" s="28"/>
      <c r="AL546" s="28"/>
    </row>
    <row r="547" spans="1:53" x14ac:dyDescent="0.3">
      <c r="A547" s="144"/>
      <c r="B547" s="28"/>
      <c r="D547" s="28"/>
    </row>
    <row r="548" spans="1:53" x14ac:dyDescent="0.3">
      <c r="A548" s="144"/>
      <c r="B548" s="28"/>
      <c r="D548" s="28"/>
      <c r="BA548" s="89"/>
    </row>
    <row r="549" spans="1:53" x14ac:dyDescent="0.3">
      <c r="A549" s="144"/>
      <c r="B549" s="28"/>
      <c r="D549" s="28"/>
    </row>
    <row r="550" spans="1:53" x14ac:dyDescent="0.3">
      <c r="A550" s="144"/>
      <c r="B550" s="28"/>
      <c r="D550" s="28"/>
    </row>
    <row r="551" spans="1:53" x14ac:dyDescent="0.3">
      <c r="A551" s="144"/>
      <c r="B551" s="28"/>
      <c r="D551" s="28"/>
    </row>
    <row r="552" spans="1:53" x14ac:dyDescent="0.3">
      <c r="A552" s="144"/>
      <c r="B552" s="28"/>
      <c r="D552" s="28"/>
    </row>
    <row r="553" spans="1:53" x14ac:dyDescent="0.3">
      <c r="A553" s="144"/>
      <c r="B553" s="28"/>
      <c r="D553" s="28"/>
    </row>
    <row r="554" spans="1:53" x14ac:dyDescent="0.3">
      <c r="A554" s="144"/>
      <c r="B554" s="28"/>
      <c r="D554" s="28"/>
    </row>
    <row r="555" spans="1:53" x14ac:dyDescent="0.3">
      <c r="A555" s="144"/>
      <c r="B555" s="28"/>
      <c r="D555" s="28"/>
    </row>
    <row r="556" spans="1:53" x14ac:dyDescent="0.3">
      <c r="A556" s="144"/>
      <c r="B556" s="28"/>
      <c r="D556" s="28"/>
      <c r="BA556" s="89"/>
    </row>
    <row r="557" spans="1:53" x14ac:dyDescent="0.3">
      <c r="A557" s="144"/>
      <c r="B557" s="28"/>
      <c r="D557" s="28"/>
    </row>
    <row r="558" spans="1:53" x14ac:dyDescent="0.3">
      <c r="A558" s="144"/>
      <c r="B558" s="28"/>
      <c r="D558" s="28"/>
    </row>
    <row r="559" spans="1:53" x14ac:dyDescent="0.3">
      <c r="A559" s="144"/>
      <c r="B559" s="28"/>
      <c r="D559" s="28"/>
    </row>
    <row r="560" spans="1:53" x14ac:dyDescent="0.3">
      <c r="A560" s="144"/>
      <c r="B560" s="28"/>
      <c r="D560" s="28"/>
    </row>
    <row r="561" spans="1:53" x14ac:dyDescent="0.3">
      <c r="A561" s="144"/>
      <c r="B561" s="28"/>
      <c r="D561" s="28"/>
    </row>
    <row r="562" spans="1:53" x14ac:dyDescent="0.3">
      <c r="A562" s="144"/>
      <c r="B562" s="28"/>
      <c r="D562" s="28"/>
    </row>
    <row r="563" spans="1:53" x14ac:dyDescent="0.3">
      <c r="A563" s="144"/>
      <c r="B563" s="28"/>
      <c r="D563" s="28"/>
    </row>
    <row r="564" spans="1:53" x14ac:dyDescent="0.3">
      <c r="A564" s="144"/>
      <c r="B564" s="28"/>
      <c r="D564" s="28"/>
    </row>
    <row r="565" spans="1:53" x14ac:dyDescent="0.3">
      <c r="A565" s="144"/>
      <c r="B565" s="28"/>
      <c r="D565" s="28"/>
    </row>
    <row r="566" spans="1:53" x14ac:dyDescent="0.3">
      <c r="A566" s="144"/>
      <c r="B566" s="28"/>
      <c r="D566" s="28"/>
    </row>
    <row r="567" spans="1:53" x14ac:dyDescent="0.3">
      <c r="A567" s="144"/>
      <c r="B567" s="28"/>
      <c r="D567" s="28"/>
    </row>
    <row r="568" spans="1:53" x14ac:dyDescent="0.3">
      <c r="A568" s="144"/>
      <c r="B568" s="28"/>
      <c r="D568" s="28"/>
    </row>
    <row r="569" spans="1:53" x14ac:dyDescent="0.3">
      <c r="A569" s="144"/>
      <c r="B569" s="28"/>
      <c r="D569" s="28"/>
    </row>
    <row r="570" spans="1:53" x14ac:dyDescent="0.3">
      <c r="A570" s="144"/>
      <c r="B570" s="28"/>
      <c r="D570" s="28"/>
      <c r="AL570" s="28"/>
    </row>
    <row r="571" spans="1:53" x14ac:dyDescent="0.3">
      <c r="A571" s="144"/>
      <c r="B571" s="28"/>
      <c r="D571" s="28"/>
      <c r="AL571" s="28"/>
    </row>
    <row r="572" spans="1:53" x14ac:dyDescent="0.3">
      <c r="A572" s="144"/>
      <c r="B572" s="28"/>
      <c r="D572" s="28"/>
      <c r="AL572" s="28"/>
    </row>
    <row r="573" spans="1:53" x14ac:dyDescent="0.3">
      <c r="A573" s="144"/>
      <c r="B573" s="28"/>
      <c r="D573" s="28"/>
      <c r="AL573" s="28"/>
    </row>
    <row r="574" spans="1:53" x14ac:dyDescent="0.3">
      <c r="A574" s="144"/>
      <c r="B574" s="28"/>
      <c r="D574" s="28"/>
      <c r="AL574" s="28"/>
    </row>
    <row r="575" spans="1:53" x14ac:dyDescent="0.3">
      <c r="A575" s="144"/>
      <c r="B575" s="28"/>
      <c r="D575" s="28"/>
      <c r="AL575" s="28"/>
    </row>
    <row r="576" spans="1:53" x14ac:dyDescent="0.3">
      <c r="A576" s="144"/>
      <c r="B576" s="28"/>
      <c r="D576" s="28"/>
      <c r="AL576" s="28"/>
      <c r="BA576" s="89"/>
    </row>
    <row r="577" spans="1:53" x14ac:dyDescent="0.3">
      <c r="A577" s="144"/>
      <c r="B577" s="28"/>
      <c r="D577" s="28"/>
      <c r="AL577" s="28"/>
    </row>
    <row r="578" spans="1:53" x14ac:dyDescent="0.3">
      <c r="A578" s="144"/>
      <c r="B578" s="28"/>
      <c r="D578" s="28"/>
      <c r="AL578" s="28"/>
      <c r="BA578" s="89"/>
    </row>
    <row r="579" spans="1:53" x14ac:dyDescent="0.3">
      <c r="A579" s="144"/>
      <c r="B579" s="28"/>
      <c r="D579" s="28"/>
      <c r="AL579" s="28"/>
      <c r="BA579" s="89"/>
    </row>
    <row r="580" spans="1:53" x14ac:dyDescent="0.3">
      <c r="A580" s="144"/>
      <c r="B580" s="28"/>
      <c r="D580" s="28"/>
      <c r="AL580" s="28"/>
      <c r="BA580" s="89"/>
    </row>
    <row r="581" spans="1:53" x14ac:dyDescent="0.3">
      <c r="A581" s="144"/>
      <c r="B581" s="28"/>
      <c r="D581" s="28"/>
      <c r="AL581" s="28"/>
      <c r="BA581" s="89"/>
    </row>
    <row r="582" spans="1:53" x14ac:dyDescent="0.3">
      <c r="A582" s="144"/>
      <c r="B582" s="28"/>
      <c r="D582" s="28"/>
      <c r="AL582" s="28"/>
    </row>
    <row r="583" spans="1:53" x14ac:dyDescent="0.3">
      <c r="A583" s="144"/>
      <c r="B583" s="28"/>
      <c r="D583" s="28"/>
      <c r="AL583" s="28"/>
    </row>
    <row r="584" spans="1:53" x14ac:dyDescent="0.3">
      <c r="A584" s="144"/>
      <c r="B584" s="28"/>
      <c r="D584" s="28"/>
      <c r="AL584" s="28"/>
    </row>
    <row r="585" spans="1:53" x14ac:dyDescent="0.3">
      <c r="A585" s="144"/>
      <c r="B585" s="28"/>
      <c r="D585" s="28"/>
      <c r="AL585" s="28"/>
    </row>
    <row r="586" spans="1:53" x14ac:dyDescent="0.3">
      <c r="A586" s="144"/>
      <c r="B586" s="28"/>
      <c r="D586" s="28"/>
      <c r="AL586" s="28"/>
      <c r="BA586" s="89"/>
    </row>
    <row r="587" spans="1:53" x14ac:dyDescent="0.3">
      <c r="A587" s="144"/>
      <c r="B587" s="28"/>
      <c r="D587" s="28"/>
      <c r="AL587" s="28"/>
      <c r="BA587" s="89"/>
    </row>
    <row r="588" spans="1:53" x14ac:dyDescent="0.3">
      <c r="A588" s="144"/>
      <c r="B588" s="28"/>
      <c r="D588" s="28"/>
      <c r="AL588" s="28"/>
    </row>
    <row r="589" spans="1:53" x14ac:dyDescent="0.3">
      <c r="A589" s="144"/>
      <c r="B589" s="28"/>
      <c r="D589" s="28"/>
      <c r="AL589" s="28"/>
      <c r="BA589" s="89"/>
    </row>
    <row r="590" spans="1:53" x14ac:dyDescent="0.3">
      <c r="A590" s="144"/>
      <c r="B590" s="28"/>
      <c r="D590" s="28"/>
      <c r="AL590" s="28"/>
      <c r="BA590" s="89"/>
    </row>
    <row r="591" spans="1:53" x14ac:dyDescent="0.3">
      <c r="A591" s="144"/>
      <c r="B591" s="28"/>
      <c r="D591" s="28"/>
      <c r="AL591" s="28"/>
    </row>
    <row r="592" spans="1:53" x14ac:dyDescent="0.3">
      <c r="A592" s="144"/>
      <c r="B592" s="28"/>
      <c r="D592" s="28"/>
    </row>
    <row r="593" spans="1:4" x14ac:dyDescent="0.3">
      <c r="A593" s="144"/>
      <c r="B593" s="28"/>
      <c r="D593" s="28"/>
    </row>
    <row r="594" spans="1:4" x14ac:dyDescent="0.3">
      <c r="A594" s="144"/>
      <c r="B594" s="28"/>
      <c r="D594" s="28"/>
    </row>
    <row r="595" spans="1:4" x14ac:dyDescent="0.3">
      <c r="A595" s="144"/>
      <c r="B595" s="28"/>
      <c r="D595" s="28"/>
    </row>
    <row r="596" spans="1:4" x14ac:dyDescent="0.3">
      <c r="A596" s="144"/>
      <c r="B596" s="28"/>
      <c r="D596" s="28"/>
    </row>
    <row r="597" spans="1:4" x14ac:dyDescent="0.3">
      <c r="A597" s="144"/>
      <c r="B597" s="28"/>
      <c r="D597" s="28"/>
    </row>
    <row r="598" spans="1:4" x14ac:dyDescent="0.3">
      <c r="A598" s="144"/>
      <c r="B598" s="28"/>
      <c r="D598" s="28"/>
    </row>
    <row r="599" spans="1:4" x14ac:dyDescent="0.3">
      <c r="A599" s="144"/>
      <c r="B599" s="28"/>
      <c r="D599" s="28"/>
    </row>
    <row r="600" spans="1:4" x14ac:dyDescent="0.3">
      <c r="A600" s="144"/>
      <c r="B600" s="28"/>
      <c r="D600" s="28"/>
    </row>
    <row r="601" spans="1:4" x14ac:dyDescent="0.3">
      <c r="A601" s="144"/>
      <c r="B601" s="28"/>
      <c r="D601" s="28"/>
    </row>
    <row r="602" spans="1:4" x14ac:dyDescent="0.3">
      <c r="A602" s="144"/>
      <c r="B602" s="28"/>
      <c r="D602" s="28"/>
    </row>
    <row r="603" spans="1:4" x14ac:dyDescent="0.3">
      <c r="A603" s="144"/>
      <c r="B603" s="28"/>
      <c r="D603" s="28"/>
    </row>
    <row r="604" spans="1:4" x14ac:dyDescent="0.3">
      <c r="A604" s="144"/>
      <c r="B604" s="28"/>
      <c r="D604" s="28"/>
    </row>
    <row r="605" spans="1:4" x14ac:dyDescent="0.3">
      <c r="A605" s="144"/>
      <c r="B605" s="28"/>
      <c r="D605" s="28"/>
    </row>
    <row r="606" spans="1:4" x14ac:dyDescent="0.3">
      <c r="A606" s="144"/>
      <c r="B606" s="28"/>
      <c r="D606" s="28"/>
    </row>
    <row r="607" spans="1:4" x14ac:dyDescent="0.3">
      <c r="A607" s="144"/>
      <c r="B607" s="28"/>
      <c r="D607" s="28"/>
    </row>
    <row r="608" spans="1:4" x14ac:dyDescent="0.3">
      <c r="A608" s="144"/>
      <c r="B608" s="28"/>
      <c r="D608" s="28"/>
    </row>
    <row r="609" spans="1:55" x14ac:dyDescent="0.3">
      <c r="A609" s="144"/>
      <c r="B609" s="28"/>
      <c r="D609" s="28"/>
    </row>
    <row r="610" spans="1:55" x14ac:dyDescent="0.3">
      <c r="A610" s="144"/>
      <c r="B610" s="28"/>
      <c r="D610" s="28"/>
    </row>
    <row r="611" spans="1:55" x14ac:dyDescent="0.3">
      <c r="A611" s="144"/>
      <c r="B611" s="28"/>
      <c r="D611" s="28"/>
    </row>
    <row r="612" spans="1:55" x14ac:dyDescent="0.3">
      <c r="A612" s="144"/>
      <c r="B612" s="28"/>
      <c r="D612" s="28"/>
    </row>
    <row r="613" spans="1:55" x14ac:dyDescent="0.3">
      <c r="A613" s="144"/>
      <c r="B613" s="28"/>
      <c r="D613" s="28"/>
    </row>
    <row r="614" spans="1:55" x14ac:dyDescent="0.3">
      <c r="A614" s="144"/>
      <c r="B614" s="28"/>
      <c r="D614" s="28"/>
    </row>
    <row r="615" spans="1:55" x14ac:dyDescent="0.3">
      <c r="A615" s="144"/>
      <c r="B615" s="28"/>
      <c r="D615" s="28"/>
    </row>
    <row r="616" spans="1:55" x14ac:dyDescent="0.3">
      <c r="A616" s="144"/>
      <c r="B616" s="28"/>
      <c r="D616" s="28"/>
    </row>
    <row r="617" spans="1:55" x14ac:dyDescent="0.3">
      <c r="A617" s="144"/>
      <c r="B617" s="28"/>
      <c r="D617" s="28"/>
    </row>
    <row r="618" spans="1:55" x14ac:dyDescent="0.3">
      <c r="A618" s="144"/>
      <c r="B618" s="28"/>
      <c r="D618" s="28"/>
    </row>
    <row r="619" spans="1:55" x14ac:dyDescent="0.3">
      <c r="A619" s="144"/>
      <c r="B619" s="28"/>
      <c r="D619" s="28"/>
    </row>
    <row r="620" spans="1:55" x14ac:dyDescent="0.3">
      <c r="A620" s="144"/>
      <c r="B620" s="28"/>
      <c r="D620" s="28"/>
    </row>
    <row r="621" spans="1:55" x14ac:dyDescent="0.3">
      <c r="A621" s="144"/>
      <c r="B621" s="28"/>
      <c r="D621" s="28"/>
    </row>
    <row r="622" spans="1:55" x14ac:dyDescent="0.3">
      <c r="A622" s="144"/>
      <c r="B622" s="28"/>
      <c r="D622" s="28"/>
    </row>
    <row r="623" spans="1:55" ht="3.9" customHeight="1" x14ac:dyDescent="0.3">
      <c r="A623" s="46"/>
      <c r="B623" s="46"/>
      <c r="C623" s="73"/>
      <c r="D623" s="46"/>
      <c r="E623" s="73"/>
      <c r="F623" s="74"/>
      <c r="G623" s="46"/>
      <c r="H623" s="46"/>
      <c r="I623" s="46"/>
      <c r="J623" s="46"/>
      <c r="K623" s="46"/>
      <c r="L623" s="75"/>
      <c r="M623" s="76"/>
      <c r="N623" s="77"/>
      <c r="O623" s="46"/>
      <c r="P623" s="75"/>
      <c r="Q623" s="142"/>
      <c r="R623" s="46"/>
      <c r="S623" s="78"/>
      <c r="T623" s="78"/>
      <c r="U623" s="78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  <c r="AG623" s="46"/>
      <c r="AH623" s="46"/>
      <c r="AI623" s="46"/>
      <c r="AJ623" s="46"/>
      <c r="AK623" s="46"/>
      <c r="AL623" s="46"/>
      <c r="AM623" s="46"/>
      <c r="AN623" s="46"/>
      <c r="AO623" s="46"/>
      <c r="AP623" s="109"/>
      <c r="AQ623" s="109"/>
      <c r="AR623" s="46"/>
      <c r="AS623" s="46"/>
      <c r="AT623" s="46"/>
      <c r="AU623" s="46"/>
      <c r="AV623" s="46"/>
      <c r="AW623" s="46"/>
      <c r="AX623" s="46"/>
      <c r="AY623" s="46"/>
      <c r="AZ623" s="46"/>
      <c r="BA623" s="46"/>
      <c r="BB623" s="46"/>
      <c r="BC623" s="46"/>
    </row>
    <row r="624" spans="1:55" x14ac:dyDescent="0.3">
      <c r="A624" s="144" t="s">
        <v>51</v>
      </c>
      <c r="B624" s="28"/>
      <c r="D624" s="28"/>
      <c r="AL624" s="28"/>
    </row>
    <row r="625" spans="1:38" x14ac:dyDescent="0.3">
      <c r="A625" s="144"/>
      <c r="B625" s="28"/>
      <c r="D625" s="28"/>
      <c r="AL625" s="28"/>
    </row>
    <row r="626" spans="1:38" x14ac:dyDescent="0.3">
      <c r="A626" s="144"/>
      <c r="B626" s="28"/>
      <c r="D626" s="28"/>
      <c r="AL626" s="28"/>
    </row>
    <row r="627" spans="1:38" x14ac:dyDescent="0.3">
      <c r="A627" s="144"/>
      <c r="B627" s="28"/>
      <c r="D627" s="28"/>
    </row>
    <row r="628" spans="1:38" x14ac:dyDescent="0.3">
      <c r="A628" s="144"/>
      <c r="B628" s="28"/>
      <c r="D628" s="28"/>
    </row>
    <row r="629" spans="1:38" x14ac:dyDescent="0.3">
      <c r="A629" s="144"/>
      <c r="B629" s="28"/>
      <c r="D629" s="28"/>
    </row>
    <row r="630" spans="1:38" x14ac:dyDescent="0.3">
      <c r="A630" s="144"/>
      <c r="B630" s="28"/>
      <c r="D630" s="28"/>
    </row>
    <row r="631" spans="1:38" x14ac:dyDescent="0.3">
      <c r="A631" s="144"/>
      <c r="B631" s="28"/>
      <c r="D631" s="28"/>
    </row>
    <row r="632" spans="1:38" x14ac:dyDescent="0.3">
      <c r="A632" s="144"/>
      <c r="B632" s="28"/>
      <c r="D632" s="28"/>
    </row>
    <row r="633" spans="1:38" x14ac:dyDescent="0.3">
      <c r="A633" s="144"/>
      <c r="B633" s="28"/>
      <c r="D633" s="28"/>
    </row>
    <row r="634" spans="1:38" x14ac:dyDescent="0.3">
      <c r="A634" s="144"/>
      <c r="B634" s="28"/>
      <c r="D634" s="28"/>
    </row>
    <row r="635" spans="1:38" x14ac:dyDescent="0.3">
      <c r="A635" s="144"/>
      <c r="B635" s="28"/>
      <c r="D635" s="28"/>
    </row>
    <row r="636" spans="1:38" x14ac:dyDescent="0.3">
      <c r="A636" s="144"/>
      <c r="B636" s="28"/>
      <c r="D636" s="28"/>
    </row>
    <row r="637" spans="1:38" x14ac:dyDescent="0.3">
      <c r="A637" s="144"/>
      <c r="B637" s="28"/>
      <c r="D637" s="28"/>
    </row>
    <row r="638" spans="1:38" x14ac:dyDescent="0.3">
      <c r="A638" s="144"/>
      <c r="B638" s="28"/>
      <c r="D638" s="28"/>
    </row>
    <row r="639" spans="1:38" x14ac:dyDescent="0.3">
      <c r="A639" s="144"/>
      <c r="B639" s="28"/>
      <c r="D639" s="28"/>
    </row>
    <row r="640" spans="1:38" x14ac:dyDescent="0.3">
      <c r="A640" s="144"/>
      <c r="B640" s="28"/>
      <c r="D640" s="28"/>
    </row>
    <row r="641" spans="1:4" x14ac:dyDescent="0.3">
      <c r="A641" s="144"/>
      <c r="B641" s="28"/>
      <c r="D641" s="28"/>
    </row>
    <row r="642" spans="1:4" x14ac:dyDescent="0.3">
      <c r="A642" s="144"/>
      <c r="B642" s="28"/>
      <c r="D642" s="28"/>
    </row>
    <row r="643" spans="1:4" x14ac:dyDescent="0.3">
      <c r="A643" s="144"/>
      <c r="B643" s="28"/>
      <c r="D643" s="28"/>
    </row>
    <row r="644" spans="1:4" x14ac:dyDescent="0.3">
      <c r="A644" s="144"/>
      <c r="B644" s="28"/>
      <c r="D644" s="28"/>
    </row>
    <row r="645" spans="1:4" x14ac:dyDescent="0.3">
      <c r="A645" s="144"/>
      <c r="B645" s="28"/>
      <c r="D645" s="28"/>
    </row>
    <row r="646" spans="1:4" x14ac:dyDescent="0.3">
      <c r="A646" s="144"/>
      <c r="B646" s="28"/>
      <c r="D646" s="28"/>
    </row>
    <row r="647" spans="1:4" x14ac:dyDescent="0.3">
      <c r="A647" s="144"/>
      <c r="B647" s="28"/>
      <c r="D647" s="28"/>
    </row>
    <row r="648" spans="1:4" x14ac:dyDescent="0.3">
      <c r="A648" s="144"/>
      <c r="B648" s="28"/>
      <c r="D648" s="28"/>
    </row>
    <row r="649" spans="1:4" x14ac:dyDescent="0.3">
      <c r="A649" s="144"/>
      <c r="B649" s="28"/>
      <c r="D649" s="28"/>
    </row>
    <row r="650" spans="1:4" x14ac:dyDescent="0.3">
      <c r="A650" s="144"/>
      <c r="B650" s="28"/>
      <c r="D650" s="28"/>
    </row>
    <row r="651" spans="1:4" x14ac:dyDescent="0.3">
      <c r="A651" s="144"/>
      <c r="B651" s="28"/>
      <c r="D651" s="28"/>
    </row>
    <row r="652" spans="1:4" x14ac:dyDescent="0.3">
      <c r="A652" s="144"/>
      <c r="B652" s="28"/>
      <c r="D652" s="28"/>
    </row>
    <row r="653" spans="1:4" x14ac:dyDescent="0.3">
      <c r="A653" s="144"/>
      <c r="B653" s="28"/>
      <c r="D653" s="28"/>
    </row>
    <row r="654" spans="1:4" x14ac:dyDescent="0.3">
      <c r="A654" s="144"/>
      <c r="B654" s="28"/>
      <c r="D654" s="28"/>
    </row>
    <row r="655" spans="1:4" x14ac:dyDescent="0.3">
      <c r="A655" s="144"/>
      <c r="B655" s="28"/>
      <c r="D655" s="28"/>
    </row>
    <row r="656" spans="1:4" x14ac:dyDescent="0.3">
      <c r="A656" s="144"/>
      <c r="B656" s="28"/>
      <c r="D656" s="28"/>
    </row>
    <row r="657" spans="1:4" x14ac:dyDescent="0.3">
      <c r="A657" s="144"/>
      <c r="B657" s="28"/>
      <c r="D657" s="28"/>
    </row>
    <row r="658" spans="1:4" x14ac:dyDescent="0.3">
      <c r="A658" s="144"/>
      <c r="B658" s="28"/>
      <c r="D658" s="28"/>
    </row>
    <row r="659" spans="1:4" x14ac:dyDescent="0.3">
      <c r="A659" s="144"/>
      <c r="B659" s="28"/>
      <c r="D659" s="28"/>
    </row>
    <row r="660" spans="1:4" x14ac:dyDescent="0.3">
      <c r="A660" s="144"/>
      <c r="B660" s="28"/>
      <c r="D660" s="28"/>
    </row>
    <row r="661" spans="1:4" x14ac:dyDescent="0.3">
      <c r="A661" s="144"/>
      <c r="B661" s="28"/>
      <c r="D661" s="28"/>
    </row>
    <row r="662" spans="1:4" x14ac:dyDescent="0.3">
      <c r="A662" s="144"/>
      <c r="B662" s="28"/>
      <c r="D662" s="28"/>
    </row>
    <row r="663" spans="1:4" x14ac:dyDescent="0.3">
      <c r="A663" s="144"/>
      <c r="B663" s="28"/>
      <c r="D663" s="28"/>
    </row>
    <row r="664" spans="1:4" x14ac:dyDescent="0.3">
      <c r="A664" s="144"/>
      <c r="B664" s="28"/>
      <c r="D664" s="28"/>
    </row>
    <row r="665" spans="1:4" x14ac:dyDescent="0.3">
      <c r="A665" s="144"/>
      <c r="B665" s="28"/>
      <c r="D665" s="28"/>
    </row>
    <row r="666" spans="1:4" x14ac:dyDescent="0.3">
      <c r="A666" s="144"/>
      <c r="B666" s="28"/>
      <c r="D666" s="28"/>
    </row>
    <row r="667" spans="1:4" x14ac:dyDescent="0.3">
      <c r="A667" s="144"/>
      <c r="B667" s="28"/>
      <c r="D667" s="28"/>
    </row>
    <row r="668" spans="1:4" x14ac:dyDescent="0.3">
      <c r="A668" s="144"/>
      <c r="B668" s="28"/>
      <c r="D668" s="28"/>
    </row>
    <row r="669" spans="1:4" x14ac:dyDescent="0.3">
      <c r="A669" s="144"/>
      <c r="B669" s="28"/>
      <c r="D669" s="28"/>
    </row>
    <row r="670" spans="1:4" x14ac:dyDescent="0.3">
      <c r="A670" s="144"/>
      <c r="B670" s="28"/>
      <c r="D670" s="28"/>
    </row>
    <row r="671" spans="1:4" x14ac:dyDescent="0.3">
      <c r="A671" s="144"/>
      <c r="B671" s="28"/>
      <c r="D671" s="28"/>
    </row>
    <row r="672" spans="1:4" x14ac:dyDescent="0.3">
      <c r="A672" s="144"/>
      <c r="B672" s="28"/>
      <c r="D672" s="28"/>
    </row>
    <row r="673" spans="1:4" x14ac:dyDescent="0.3">
      <c r="A673" s="144"/>
      <c r="B673" s="28"/>
      <c r="D673" s="28"/>
    </row>
    <row r="674" spans="1:4" x14ac:dyDescent="0.3">
      <c r="A674" s="144"/>
      <c r="B674" s="28"/>
      <c r="D674" s="28"/>
    </row>
    <row r="675" spans="1:4" x14ac:dyDescent="0.3">
      <c r="A675" s="144"/>
      <c r="B675" s="28"/>
      <c r="D675" s="28"/>
    </row>
    <row r="676" spans="1:4" x14ac:dyDescent="0.3">
      <c r="A676" s="144"/>
      <c r="B676" s="28"/>
      <c r="D676" s="28"/>
    </row>
    <row r="677" spans="1:4" x14ac:dyDescent="0.3">
      <c r="A677" s="144"/>
      <c r="B677" s="28"/>
      <c r="D677" s="28"/>
    </row>
    <row r="678" spans="1:4" x14ac:dyDescent="0.3">
      <c r="A678" s="144"/>
      <c r="B678" s="28"/>
      <c r="D678" s="28"/>
    </row>
    <row r="679" spans="1:4" x14ac:dyDescent="0.3">
      <c r="A679" s="144"/>
      <c r="B679" s="28"/>
      <c r="D679" s="28"/>
    </row>
    <row r="680" spans="1:4" x14ac:dyDescent="0.3">
      <c r="A680" s="144"/>
      <c r="B680" s="28"/>
      <c r="D680" s="28"/>
    </row>
    <row r="681" spans="1:4" x14ac:dyDescent="0.3">
      <c r="A681" s="144"/>
      <c r="B681" s="28"/>
      <c r="D681" s="28"/>
    </row>
    <row r="682" spans="1:4" x14ac:dyDescent="0.3">
      <c r="A682" s="144"/>
      <c r="B682" s="28"/>
      <c r="D682" s="28"/>
    </row>
    <row r="683" spans="1:4" x14ac:dyDescent="0.3">
      <c r="A683" s="144"/>
      <c r="B683" s="28"/>
      <c r="D683" s="28"/>
    </row>
    <row r="684" spans="1:4" x14ac:dyDescent="0.3">
      <c r="A684" s="144"/>
      <c r="B684" s="28"/>
      <c r="D684" s="28"/>
    </row>
    <row r="685" spans="1:4" x14ac:dyDescent="0.3">
      <c r="A685" s="144"/>
      <c r="B685" s="28"/>
      <c r="D685" s="28"/>
    </row>
    <row r="686" spans="1:4" x14ac:dyDescent="0.3">
      <c r="A686" s="144"/>
      <c r="B686" s="28"/>
      <c r="D686" s="28"/>
    </row>
    <row r="687" spans="1:4" x14ac:dyDescent="0.3">
      <c r="A687" s="144"/>
      <c r="B687" s="28"/>
      <c r="D687" s="28"/>
    </row>
    <row r="688" spans="1:4" x14ac:dyDescent="0.3">
      <c r="A688" s="144"/>
      <c r="B688" s="28"/>
      <c r="D688" s="28"/>
    </row>
    <row r="689" spans="1:4" x14ac:dyDescent="0.3">
      <c r="A689" s="144"/>
      <c r="B689" s="28"/>
      <c r="D689" s="28"/>
    </row>
    <row r="690" spans="1:4" x14ac:dyDescent="0.3">
      <c r="A690" s="144"/>
      <c r="B690" s="28"/>
      <c r="D690" s="28"/>
    </row>
    <row r="691" spans="1:4" x14ac:dyDescent="0.3">
      <c r="A691" s="144"/>
      <c r="B691" s="28"/>
      <c r="D691" s="28"/>
    </row>
    <row r="692" spans="1:4" x14ac:dyDescent="0.3">
      <c r="A692" s="144"/>
      <c r="B692" s="28"/>
      <c r="D692" s="28"/>
    </row>
    <row r="693" spans="1:4" x14ac:dyDescent="0.3">
      <c r="A693" s="144"/>
      <c r="B693" s="28"/>
      <c r="D693" s="28"/>
    </row>
    <row r="694" spans="1:4" x14ac:dyDescent="0.3">
      <c r="A694" s="144"/>
      <c r="B694" s="28"/>
      <c r="D694" s="28"/>
    </row>
    <row r="695" spans="1:4" x14ac:dyDescent="0.3">
      <c r="A695" s="144"/>
      <c r="B695" s="28"/>
      <c r="D695" s="28"/>
    </row>
    <row r="696" spans="1:4" x14ac:dyDescent="0.3">
      <c r="A696" s="144"/>
      <c r="B696" s="28"/>
      <c r="D696" s="28"/>
    </row>
    <row r="697" spans="1:4" x14ac:dyDescent="0.3">
      <c r="A697" s="144"/>
      <c r="B697" s="28"/>
      <c r="D697" s="28"/>
    </row>
    <row r="698" spans="1:4" x14ac:dyDescent="0.3">
      <c r="A698" s="144"/>
      <c r="B698" s="28"/>
      <c r="D698" s="28"/>
    </row>
    <row r="699" spans="1:4" x14ac:dyDescent="0.3">
      <c r="A699" s="144"/>
      <c r="B699" s="28"/>
      <c r="D699" s="28"/>
    </row>
    <row r="700" spans="1:4" x14ac:dyDescent="0.3">
      <c r="A700" s="144"/>
      <c r="B700" s="28"/>
      <c r="D700" s="28"/>
    </row>
    <row r="701" spans="1:4" x14ac:dyDescent="0.3">
      <c r="A701" s="144"/>
      <c r="B701" s="28"/>
      <c r="D701" s="28"/>
    </row>
    <row r="702" spans="1:4" x14ac:dyDescent="0.3">
      <c r="A702" s="144"/>
      <c r="B702" s="28"/>
      <c r="D702" s="28"/>
    </row>
    <row r="703" spans="1:4" x14ac:dyDescent="0.3">
      <c r="A703" s="144"/>
      <c r="B703" s="28"/>
      <c r="D703" s="28"/>
    </row>
    <row r="704" spans="1:4" x14ac:dyDescent="0.3">
      <c r="A704" s="144"/>
      <c r="B704" s="28"/>
      <c r="D704" s="28"/>
    </row>
    <row r="705" spans="1:4" x14ac:dyDescent="0.3">
      <c r="A705" s="144"/>
      <c r="B705" s="28"/>
      <c r="D705" s="28"/>
    </row>
    <row r="706" spans="1:4" x14ac:dyDescent="0.3">
      <c r="A706" s="144"/>
      <c r="B706" s="28"/>
      <c r="D706" s="28"/>
    </row>
    <row r="707" spans="1:4" x14ac:dyDescent="0.3">
      <c r="A707" s="144"/>
      <c r="B707" s="28"/>
      <c r="D707" s="28"/>
    </row>
    <row r="708" spans="1:4" x14ac:dyDescent="0.3">
      <c r="A708" s="144"/>
      <c r="B708" s="28"/>
      <c r="D708" s="28"/>
    </row>
    <row r="709" spans="1:4" x14ac:dyDescent="0.3">
      <c r="A709" s="144"/>
      <c r="B709" s="28"/>
      <c r="D709" s="28"/>
    </row>
    <row r="710" spans="1:4" x14ac:dyDescent="0.3">
      <c r="A710" s="144"/>
      <c r="B710" s="28"/>
      <c r="D710" s="28"/>
    </row>
    <row r="711" spans="1:4" x14ac:dyDescent="0.3">
      <c r="A711" s="144"/>
      <c r="B711" s="28"/>
      <c r="D711" s="28"/>
    </row>
    <row r="712" spans="1:4" x14ac:dyDescent="0.3">
      <c r="A712" s="144"/>
      <c r="B712" s="28"/>
      <c r="D712" s="28"/>
    </row>
    <row r="713" spans="1:4" x14ac:dyDescent="0.3">
      <c r="A713" s="144"/>
      <c r="B713" s="28"/>
      <c r="D713" s="28"/>
    </row>
    <row r="714" spans="1:4" x14ac:dyDescent="0.3">
      <c r="A714" s="144"/>
      <c r="B714" s="28"/>
      <c r="D714" s="28"/>
    </row>
    <row r="715" spans="1:4" x14ac:dyDescent="0.3">
      <c r="A715" s="144"/>
      <c r="B715" s="28"/>
      <c r="D715" s="28"/>
    </row>
    <row r="716" spans="1:4" x14ac:dyDescent="0.3">
      <c r="A716" s="144"/>
      <c r="B716" s="28"/>
      <c r="D716" s="28"/>
    </row>
    <row r="717" spans="1:4" x14ac:dyDescent="0.3">
      <c r="A717" s="144"/>
      <c r="B717" s="28"/>
      <c r="D717" s="28"/>
    </row>
    <row r="718" spans="1:4" x14ac:dyDescent="0.3">
      <c r="A718" s="144"/>
      <c r="B718" s="28"/>
      <c r="D718" s="28"/>
    </row>
    <row r="719" spans="1:4" x14ac:dyDescent="0.3">
      <c r="A719" s="144"/>
      <c r="B719" s="28"/>
      <c r="D719" s="28"/>
    </row>
    <row r="720" spans="1:4" x14ac:dyDescent="0.3">
      <c r="A720" s="144"/>
      <c r="B720" s="28"/>
      <c r="D720" s="28"/>
    </row>
    <row r="721" spans="1:55" x14ac:dyDescent="0.3">
      <c r="A721" s="144"/>
      <c r="B721" s="28"/>
      <c r="D721" s="28"/>
    </row>
    <row r="722" spans="1:55" x14ac:dyDescent="0.3">
      <c r="A722" s="144"/>
      <c r="B722" s="28"/>
      <c r="D722" s="28"/>
    </row>
    <row r="723" spans="1:55" x14ac:dyDescent="0.3">
      <c r="A723" s="144"/>
      <c r="B723" s="28"/>
      <c r="D723" s="28"/>
    </row>
    <row r="724" spans="1:55" ht="3.9" customHeight="1" x14ac:dyDescent="0.3">
      <c r="A724" s="46"/>
      <c r="B724" s="73"/>
      <c r="C724" s="73"/>
      <c r="D724" s="73"/>
      <c r="E724" s="73"/>
      <c r="F724" s="74"/>
      <c r="G724" s="46"/>
      <c r="H724" s="46"/>
      <c r="I724" s="46"/>
      <c r="J724" s="46"/>
      <c r="K724" s="46"/>
      <c r="L724" s="75"/>
      <c r="M724" s="76"/>
      <c r="N724" s="77"/>
      <c r="O724" s="46"/>
      <c r="P724" s="75"/>
      <c r="Q724" s="142"/>
      <c r="R724" s="46"/>
      <c r="S724" s="78"/>
      <c r="T724" s="78"/>
      <c r="U724" s="78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  <c r="AG724" s="46"/>
      <c r="AH724" s="46"/>
      <c r="AI724" s="46"/>
      <c r="AJ724" s="46"/>
      <c r="AK724" s="46"/>
      <c r="AL724" s="46"/>
      <c r="AM724" s="46"/>
      <c r="AN724" s="46"/>
      <c r="AO724" s="46"/>
      <c r="AP724" s="109"/>
      <c r="AQ724" s="109"/>
      <c r="AR724" s="46"/>
      <c r="AS724" s="46"/>
      <c r="AT724" s="46"/>
      <c r="AU724" s="46"/>
      <c r="AV724" s="46"/>
      <c r="AW724" s="46"/>
      <c r="AX724" s="46"/>
      <c r="AY724" s="46"/>
      <c r="AZ724" s="46"/>
      <c r="BA724" s="46"/>
      <c r="BB724" s="46"/>
      <c r="BC724" s="46"/>
    </row>
  </sheetData>
  <sortState xmlns:xlrd2="http://schemas.microsoft.com/office/spreadsheetml/2017/richdata2" ref="B220:BC230">
    <sortCondition ref="H220"/>
  </sortState>
  <mergeCells count="7">
    <mergeCell ref="A523:A622"/>
    <mergeCell ref="A624:A723"/>
    <mergeCell ref="A18:A117"/>
    <mergeCell ref="A119:A218"/>
    <mergeCell ref="A220:A319"/>
    <mergeCell ref="A321:A420"/>
    <mergeCell ref="A422:A521"/>
  </mergeCells>
  <conditionalFormatting sqref="R9:R15">
    <cfRule type="cellIs" priority="176" stopIfTrue="1" operator="lessThan">
      <formula>1</formula>
    </cfRule>
    <cfRule type="colorScale" priority="177">
      <colorScale>
        <cfvo type="num" val="10000"/>
        <cfvo type="num" val="13000"/>
        <cfvo type="num" val="16000"/>
        <color rgb="FFF8696B"/>
        <color rgb="FF63BE7B"/>
        <color rgb="FFFFEB84"/>
      </colorScale>
    </cfRule>
  </conditionalFormatting>
  <conditionalFormatting sqref="F17:F623">
    <cfRule type="expression" dxfId="29" priority="169">
      <formula>(F17&lt;&gt;"")*(file_exists("\\192.168.100.121\Gamybos_padalinys\Gamybos_planavimo_skyrius\Gamyba\"&amp;F17&amp;"\REIKALAVIMAI\Sienos\*.pdf")=FALSE)</formula>
    </cfRule>
  </conditionalFormatting>
  <conditionalFormatting sqref="B17:BC623">
    <cfRule type="expression" dxfId="28" priority="170">
      <formula>($E17&lt;&gt;"")*($AM17=1)</formula>
    </cfRule>
    <cfRule type="expression" dxfId="27" priority="171">
      <formula>($E17&lt;&gt;"")*($AM17=2)</formula>
    </cfRule>
    <cfRule type="expression" dxfId="26" priority="172">
      <formula>($E17&lt;&gt;"")*($AM17=3)</formula>
    </cfRule>
    <cfRule type="expression" dxfId="25" priority="173">
      <formula>($E17&lt;&gt;"")*($AM17=4)</formula>
    </cfRule>
    <cfRule type="expression" dxfId="24" priority="174">
      <formula>($E17&lt;&gt;"")*($AM17=5)</formula>
    </cfRule>
    <cfRule type="expression" dxfId="23" priority="175">
      <formula>($E17&lt;&gt;"")*($AM17=6)</formula>
    </cfRule>
    <cfRule type="expression" dxfId="22" priority="178">
      <formula>($BA17&lt;&gt;"")*OR($E17="",$E17="-")*($AL17&lt;=$D17)</formula>
    </cfRule>
    <cfRule type="expression" dxfId="21" priority="242">
      <formula>($BA17&lt;&gt;"")*(MOD($H17,2)=0)*(ISNUMBER($O17)=FALSE)</formula>
    </cfRule>
  </conditionalFormatting>
  <dataValidations count="1">
    <dataValidation type="list" allowBlank="1" showInputMessage="1" showErrorMessage="1" sqref="B3" xr:uid="{00000000-0002-0000-0000-000000000000}">
      <formula1>"2-3 linija,4 linija,5 linija,GAG linija"</formula1>
    </dataValidation>
  </dataValidations>
  <hyperlinks>
    <hyperlink ref="B9" location="planas!A18" display="planas!A18" xr:uid="{00000000-0004-0000-0000-000000000000}"/>
    <hyperlink ref="B10" location="planas!A99" display="planas!A99" xr:uid="{00000000-0004-0000-0000-000001000000}"/>
    <hyperlink ref="B11" location="planas!A180" display="planas!A180" xr:uid="{00000000-0004-0000-0000-000002000000}"/>
    <hyperlink ref="B12" location="planas!A261" display="planas!A261" xr:uid="{00000000-0004-0000-0000-000003000000}"/>
    <hyperlink ref="B13" location="planas!A342" display="planas!A342" xr:uid="{00000000-0004-0000-0000-000004000000}"/>
    <hyperlink ref="B14" location="planas!A423" display="planas!A423" xr:uid="{00000000-0004-0000-0000-000005000000}"/>
    <hyperlink ref="B15" location="planas!A504" display="planas!A504" xr:uid="{00000000-0004-0000-0000-000006000000}"/>
  </hyperlinks>
  <pageMargins left="0.7" right="0.7" top="0.75" bottom="0.75" header="0.3" footer="0.3"/>
  <pageSetup paperSize="9" scale="10" orientation="landscape" r:id="rId1"/>
  <ignoredErrors>
    <ignoredError sqref="Q10 Q11:Q15 M9:M15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54819-4E7E-4F8F-B3E4-AC68BAF485C2}">
  <sheetPr codeName="Sheet22">
    <tabColor rgb="FF92D050"/>
  </sheetPr>
  <dimension ref="A1:BC11"/>
  <sheetViews>
    <sheetView tabSelected="1" workbookViewId="0">
      <selection activeCell="BF14" sqref="BF14"/>
    </sheetView>
  </sheetViews>
  <sheetFormatPr defaultRowHeight="14.4" x14ac:dyDescent="0.3"/>
  <cols>
    <col min="1" max="1" width="7.33203125" bestFit="1" customWidth="1"/>
    <col min="2" max="2" width="11.44140625" bestFit="1" customWidth="1"/>
    <col min="3" max="3" width="8.109375" bestFit="1" customWidth="1"/>
    <col min="4" max="4" width="11.44140625" bestFit="1" customWidth="1"/>
    <col min="5" max="5" width="8" bestFit="1" customWidth="1"/>
    <col min="6" max="6" width="15.21875" bestFit="1" customWidth="1"/>
    <col min="7" max="7" width="8.5546875" bestFit="1" customWidth="1"/>
    <col min="8" max="8" width="8.44140625" bestFit="1" customWidth="1"/>
    <col min="9" max="9" width="5.44140625" bestFit="1" customWidth="1"/>
    <col min="10" max="10" width="8" bestFit="1" customWidth="1"/>
    <col min="11" max="11" width="7.33203125" bestFit="1" customWidth="1"/>
    <col min="12" max="12" width="5.77734375" bestFit="1" customWidth="1"/>
    <col min="13" max="13" width="6.77734375" bestFit="1" customWidth="1"/>
    <col min="14" max="14" width="5.88671875" bestFit="1" customWidth="1"/>
    <col min="15" max="15" width="3.21875" hidden="1" customWidth="1"/>
    <col min="16" max="16" width="36.77734375" hidden="1" customWidth="1"/>
    <col min="17" max="17" width="8.109375" hidden="1" customWidth="1"/>
    <col min="18" max="18" width="7.109375" hidden="1" customWidth="1"/>
    <col min="19" max="19" width="19" hidden="1" customWidth="1"/>
    <col min="20" max="20" width="2.88671875" hidden="1" customWidth="1"/>
    <col min="21" max="21" width="3.21875" hidden="1" customWidth="1"/>
    <col min="22" max="22" width="8" hidden="1" customWidth="1"/>
    <col min="23" max="23" width="3.6640625" hidden="1" customWidth="1"/>
    <col min="24" max="24" width="3" hidden="1" customWidth="1"/>
    <col min="25" max="25" width="6.77734375" hidden="1" customWidth="1"/>
    <col min="26" max="26" width="7.88671875" hidden="1" customWidth="1"/>
    <col min="27" max="27" width="8.109375" hidden="1" customWidth="1"/>
    <col min="28" max="29" width="4.109375" hidden="1" customWidth="1"/>
    <col min="30" max="31" width="8.33203125" hidden="1" customWidth="1"/>
    <col min="32" max="32" width="4" hidden="1" customWidth="1"/>
    <col min="33" max="33" width="8.77734375" hidden="1" customWidth="1"/>
    <col min="34" max="34" width="4.33203125" hidden="1" customWidth="1"/>
    <col min="35" max="35" width="3.5546875" hidden="1" customWidth="1"/>
    <col min="36" max="36" width="8.33203125" hidden="1" customWidth="1"/>
    <col min="37" max="37" width="6.109375" hidden="1" customWidth="1"/>
    <col min="38" max="38" width="11.44140625" hidden="1" customWidth="1"/>
    <col min="39" max="39" width="4.77734375" hidden="1" customWidth="1"/>
    <col min="40" max="40" width="10.33203125" hidden="1" customWidth="1"/>
    <col min="41" max="41" width="9.33203125" hidden="1" customWidth="1"/>
    <col min="42" max="42" width="7.109375" customWidth="1"/>
    <col min="43" max="43" width="8.44140625" customWidth="1"/>
    <col min="44" max="44" width="4.109375" hidden="1" customWidth="1"/>
    <col min="45" max="46" width="4" hidden="1" customWidth="1"/>
    <col min="47" max="47" width="4.33203125" hidden="1" customWidth="1"/>
    <col min="48" max="48" width="4.21875" hidden="1" customWidth="1"/>
    <col min="49" max="49" width="4.77734375" hidden="1" customWidth="1"/>
    <col min="50" max="50" width="7.44140625" hidden="1" customWidth="1"/>
    <col min="51" max="51" width="4" hidden="1" customWidth="1"/>
    <col min="52" max="52" width="8.21875" hidden="1" customWidth="1"/>
    <col min="53" max="53" width="36.77734375" hidden="1" customWidth="1"/>
    <col min="54" max="54" width="4" hidden="1" customWidth="1"/>
    <col min="55" max="55" width="7.5546875" bestFit="1" customWidth="1"/>
  </cols>
  <sheetData>
    <row r="1" spans="1:55" ht="55.8" thickBot="1" x14ac:dyDescent="0.35">
      <c r="A1" s="47" t="s">
        <v>3</v>
      </c>
      <c r="B1" s="48" t="s">
        <v>4</v>
      </c>
      <c r="C1" s="49" t="s">
        <v>5</v>
      </c>
      <c r="D1" s="50" t="s">
        <v>6</v>
      </c>
      <c r="E1" s="49" t="s">
        <v>7</v>
      </c>
      <c r="F1" s="50" t="s">
        <v>8</v>
      </c>
      <c r="G1" s="50" t="s">
        <v>9</v>
      </c>
      <c r="H1" s="50" t="s">
        <v>37</v>
      </c>
      <c r="I1" s="50" t="s">
        <v>10</v>
      </c>
      <c r="J1" s="50" t="s">
        <v>11</v>
      </c>
      <c r="K1" s="51" t="s">
        <v>114</v>
      </c>
      <c r="L1" s="52" t="s">
        <v>17</v>
      </c>
      <c r="M1" s="53" t="s">
        <v>66</v>
      </c>
      <c r="N1" s="54" t="s">
        <v>103</v>
      </c>
      <c r="O1" s="55" t="s">
        <v>104</v>
      </c>
      <c r="P1" s="56" t="s">
        <v>175</v>
      </c>
      <c r="Q1" s="139" t="s">
        <v>18</v>
      </c>
      <c r="R1" s="50" t="s">
        <v>102</v>
      </c>
      <c r="S1" s="57" t="s">
        <v>174</v>
      </c>
      <c r="T1" s="58" t="s">
        <v>70</v>
      </c>
      <c r="U1" s="58" t="s">
        <v>79</v>
      </c>
      <c r="V1" s="122" t="s">
        <v>252</v>
      </c>
      <c r="W1" s="55" t="s">
        <v>80</v>
      </c>
      <c r="X1" s="55" t="s">
        <v>81</v>
      </c>
      <c r="Y1" s="50" t="s">
        <v>20</v>
      </c>
      <c r="Z1" s="59" t="s">
        <v>21</v>
      </c>
      <c r="AA1" s="50" t="s">
        <v>19</v>
      </c>
      <c r="AB1" s="55" t="s">
        <v>85</v>
      </c>
      <c r="AC1" s="55" t="s">
        <v>86</v>
      </c>
      <c r="AD1" s="51" t="s">
        <v>76</v>
      </c>
      <c r="AE1" s="51" t="s">
        <v>77</v>
      </c>
      <c r="AF1" s="55" t="s">
        <v>88</v>
      </c>
      <c r="AG1" s="60" t="s">
        <v>78</v>
      </c>
      <c r="AH1" s="61" t="s">
        <v>89</v>
      </c>
      <c r="AI1" s="62" t="s">
        <v>90</v>
      </c>
      <c r="AJ1" s="51" t="s">
        <v>177</v>
      </c>
      <c r="AK1" s="50" t="s">
        <v>188</v>
      </c>
      <c r="AL1" s="62" t="s">
        <v>93</v>
      </c>
      <c r="AM1" s="62" t="s">
        <v>94</v>
      </c>
      <c r="AN1" s="62" t="s">
        <v>95</v>
      </c>
      <c r="AO1" s="62" t="s">
        <v>96</v>
      </c>
      <c r="AP1" s="111" t="s">
        <v>234</v>
      </c>
      <c r="AQ1" s="111" t="s">
        <v>235</v>
      </c>
      <c r="AR1" s="62" t="s">
        <v>105</v>
      </c>
      <c r="AS1" s="62" t="s">
        <v>99</v>
      </c>
      <c r="AT1" s="62" t="s">
        <v>106</v>
      </c>
      <c r="AU1" s="62" t="s">
        <v>100</v>
      </c>
      <c r="AV1" s="62" t="s">
        <v>107</v>
      </c>
      <c r="AW1" s="62" t="s">
        <v>83</v>
      </c>
      <c r="AX1" s="62" t="s">
        <v>108</v>
      </c>
      <c r="AY1" s="55" t="s">
        <v>180</v>
      </c>
      <c r="AZ1" s="63" t="s">
        <v>863</v>
      </c>
      <c r="BA1" s="64" t="s">
        <v>34</v>
      </c>
      <c r="BB1" s="62" t="s">
        <v>181</v>
      </c>
      <c r="BC1" s="50" t="s">
        <v>49</v>
      </c>
    </row>
    <row r="2" spans="1:55" x14ac:dyDescent="0.3">
      <c r="A2" s="145" t="s">
        <v>23</v>
      </c>
      <c r="B2" s="147" t="s">
        <v>865</v>
      </c>
      <c r="C2" s="28"/>
      <c r="D2" s="28">
        <v>45196</v>
      </c>
      <c r="E2" s="28"/>
      <c r="F2" s="79" t="s">
        <v>294</v>
      </c>
      <c r="G2" s="29" t="s">
        <v>259</v>
      </c>
      <c r="H2" s="29">
        <v>1</v>
      </c>
      <c r="I2" s="29" t="s">
        <v>861</v>
      </c>
      <c r="J2" s="29"/>
      <c r="K2" s="29"/>
      <c r="L2" s="82">
        <v>14.18</v>
      </c>
      <c r="M2" s="32">
        <v>4145</v>
      </c>
      <c r="N2" s="33">
        <v>2.8170000000000002</v>
      </c>
      <c r="O2" s="29"/>
      <c r="P2" s="82" t="s">
        <v>768</v>
      </c>
      <c r="Q2" s="104">
        <v>0.48561038961038955</v>
      </c>
      <c r="R2" s="29"/>
      <c r="S2" s="83" t="s">
        <v>277</v>
      </c>
      <c r="T2" s="83"/>
      <c r="U2" s="83"/>
      <c r="V2" s="13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>
        <v>3</v>
      </c>
      <c r="AL2" s="28">
        <v>45212</v>
      </c>
      <c r="AM2" s="29"/>
      <c r="AN2" s="29">
        <v>3420.0070000000001</v>
      </c>
      <c r="AO2" s="29">
        <v>200.00299999999999</v>
      </c>
      <c r="AP2" s="27"/>
      <c r="AQ2" s="27">
        <v>21.533000000000001</v>
      </c>
      <c r="AR2" s="29"/>
      <c r="AS2" s="29"/>
      <c r="AT2" s="29"/>
      <c r="AU2" s="29"/>
      <c r="AV2" s="29"/>
      <c r="AW2" s="29"/>
      <c r="AX2" s="29" t="s">
        <v>780</v>
      </c>
      <c r="AY2" s="29"/>
      <c r="AZ2" s="29" t="s">
        <v>864</v>
      </c>
      <c r="BA2" s="89" t="s">
        <v>768</v>
      </c>
      <c r="BB2" s="29"/>
      <c r="BC2" s="29" t="s">
        <v>56</v>
      </c>
    </row>
    <row r="3" spans="1:55" x14ac:dyDescent="0.3">
      <c r="A3" s="146"/>
      <c r="B3" s="97">
        <v>45194</v>
      </c>
      <c r="C3" s="28"/>
      <c r="D3" s="97" t="s">
        <v>866</v>
      </c>
      <c r="E3" s="28"/>
      <c r="F3" s="79" t="s">
        <v>294</v>
      </c>
      <c r="G3" s="80" t="s">
        <v>193</v>
      </c>
      <c r="H3" s="80">
        <v>1</v>
      </c>
      <c r="I3" s="80" t="s">
        <v>861</v>
      </c>
      <c r="J3" s="96" t="s">
        <v>278</v>
      </c>
      <c r="K3" s="29"/>
      <c r="L3" s="31">
        <v>9.19</v>
      </c>
      <c r="M3" s="32">
        <v>2531</v>
      </c>
      <c r="N3" s="33">
        <v>1.8240000000000001</v>
      </c>
      <c r="O3" s="29"/>
      <c r="P3" s="31" t="s">
        <v>770</v>
      </c>
      <c r="Q3" s="104">
        <v>0.48561038961038955</v>
      </c>
      <c r="R3" s="29"/>
      <c r="S3" s="34" t="s">
        <v>277</v>
      </c>
      <c r="T3" s="34"/>
      <c r="U3" s="34"/>
      <c r="V3" s="13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>
        <v>3</v>
      </c>
      <c r="AL3" s="28">
        <v>45212</v>
      </c>
      <c r="AM3" s="29"/>
      <c r="AN3" s="29">
        <v>3630</v>
      </c>
      <c r="AO3" s="29">
        <v>200.001</v>
      </c>
      <c r="AP3" s="27"/>
      <c r="AQ3" s="27">
        <v>10.656000000000001</v>
      </c>
      <c r="AR3" s="29"/>
      <c r="AS3" s="29"/>
      <c r="AT3" s="29"/>
      <c r="AU3" s="29"/>
      <c r="AV3" s="29"/>
      <c r="AW3" s="29"/>
      <c r="AX3" s="29" t="s">
        <v>780</v>
      </c>
      <c r="AY3" s="29"/>
      <c r="AZ3" s="29" t="s">
        <v>864</v>
      </c>
      <c r="BA3" s="89" t="s">
        <v>770</v>
      </c>
      <c r="BB3" s="29"/>
      <c r="BC3" s="29" t="s">
        <v>56</v>
      </c>
    </row>
    <row r="4" spans="1:55" x14ac:dyDescent="0.3">
      <c r="A4" s="146"/>
      <c r="B4" s="147" t="s">
        <v>867</v>
      </c>
      <c r="C4" s="28"/>
      <c r="D4" s="97" t="s">
        <v>868</v>
      </c>
      <c r="E4" s="28"/>
      <c r="F4" s="79" t="s">
        <v>294</v>
      </c>
      <c r="G4" s="80" t="s">
        <v>491</v>
      </c>
      <c r="H4" s="80">
        <v>2</v>
      </c>
      <c r="I4" s="80" t="s">
        <v>861</v>
      </c>
      <c r="J4" s="87"/>
      <c r="K4" s="29"/>
      <c r="L4" s="82">
        <v>7.35</v>
      </c>
      <c r="M4" s="32">
        <v>2239.9989999999998</v>
      </c>
      <c r="N4" s="33">
        <v>1.361</v>
      </c>
      <c r="O4" s="29"/>
      <c r="P4" s="82" t="s">
        <v>580</v>
      </c>
      <c r="Q4" s="104">
        <v>0.27033766233766232</v>
      </c>
      <c r="R4" s="29"/>
      <c r="S4" s="83" t="s">
        <v>584</v>
      </c>
      <c r="T4" s="83"/>
      <c r="U4" s="83"/>
      <c r="V4" s="13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>
        <v>6</v>
      </c>
      <c r="AL4" s="28">
        <v>45260</v>
      </c>
      <c r="AM4" s="29"/>
      <c r="AN4" s="29">
        <v>3280.0070000000001</v>
      </c>
      <c r="AO4" s="29">
        <v>545.00699999999995</v>
      </c>
      <c r="AP4" s="27"/>
      <c r="AQ4" s="27">
        <v>19.943999999999999</v>
      </c>
      <c r="AR4" s="29"/>
      <c r="AS4" s="29"/>
      <c r="AT4" s="29"/>
      <c r="AU4" s="29"/>
      <c r="AV4" s="29"/>
      <c r="AW4" s="29"/>
      <c r="AX4" s="29" t="s">
        <v>780</v>
      </c>
      <c r="AY4" s="29"/>
      <c r="AZ4" s="29" t="s">
        <v>864</v>
      </c>
      <c r="BA4" s="89" t="s">
        <v>580</v>
      </c>
      <c r="BB4" s="29"/>
      <c r="BC4" s="29" t="s">
        <v>57</v>
      </c>
    </row>
    <row r="5" spans="1:55" x14ac:dyDescent="0.3">
      <c r="A5" s="146"/>
      <c r="B5" s="97">
        <v>45194</v>
      </c>
      <c r="C5" s="28"/>
      <c r="D5" s="28">
        <v>45196</v>
      </c>
      <c r="E5" s="28"/>
      <c r="F5" s="79" t="s">
        <v>294</v>
      </c>
      <c r="G5" s="80" t="s">
        <v>232</v>
      </c>
      <c r="H5" s="80">
        <v>2</v>
      </c>
      <c r="I5" s="80" t="s">
        <v>861</v>
      </c>
      <c r="J5" s="28"/>
      <c r="K5" s="29"/>
      <c r="L5" s="82">
        <v>5.66</v>
      </c>
      <c r="M5" s="32">
        <v>1560</v>
      </c>
      <c r="N5" s="33">
        <v>1.1240000000000001</v>
      </c>
      <c r="O5" s="29"/>
      <c r="P5" s="82" t="s">
        <v>766</v>
      </c>
      <c r="Q5" s="104">
        <v>0.27033766233766232</v>
      </c>
      <c r="R5" s="29"/>
      <c r="S5" s="83" t="s">
        <v>277</v>
      </c>
      <c r="T5" s="83"/>
      <c r="U5" s="83"/>
      <c r="V5" s="13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>
        <v>3</v>
      </c>
      <c r="AL5" s="28">
        <v>45212</v>
      </c>
      <c r="AM5" s="29"/>
      <c r="AN5" s="29">
        <v>3630</v>
      </c>
      <c r="AO5" s="29">
        <v>200</v>
      </c>
      <c r="AP5" s="27"/>
      <c r="AQ5" s="27">
        <v>23.03</v>
      </c>
      <c r="AR5" s="29"/>
      <c r="AS5" s="29"/>
      <c r="AT5" s="29"/>
      <c r="AU5" s="29"/>
      <c r="AV5" s="29"/>
      <c r="AW5" s="29"/>
      <c r="AX5" s="29" t="s">
        <v>780</v>
      </c>
      <c r="AY5" s="29"/>
      <c r="AZ5" s="29" t="s">
        <v>864</v>
      </c>
      <c r="BA5" s="29" t="s">
        <v>766</v>
      </c>
      <c r="BB5" s="29"/>
      <c r="BC5" s="29" t="s">
        <v>56</v>
      </c>
    </row>
    <row r="6" spans="1:55" x14ac:dyDescent="0.3">
      <c r="A6" s="146"/>
      <c r="B6" s="97">
        <v>45194</v>
      </c>
      <c r="C6" s="28"/>
      <c r="D6" s="28">
        <v>45196</v>
      </c>
      <c r="E6" s="28"/>
      <c r="F6" s="79" t="s">
        <v>294</v>
      </c>
      <c r="G6" s="29" t="s">
        <v>376</v>
      </c>
      <c r="H6" s="29">
        <v>3</v>
      </c>
      <c r="I6" s="29" t="s">
        <v>861</v>
      </c>
      <c r="J6" s="13" t="s">
        <v>349</v>
      </c>
      <c r="K6" s="29"/>
      <c r="L6" s="82">
        <v>16.89</v>
      </c>
      <c r="M6" s="32">
        <v>5150.04</v>
      </c>
      <c r="N6" s="33">
        <v>2.6720000000000002</v>
      </c>
      <c r="O6" s="29"/>
      <c r="P6" s="82" t="s">
        <v>578</v>
      </c>
      <c r="Q6" s="104">
        <v>0.53838961038961042</v>
      </c>
      <c r="R6" s="29"/>
      <c r="S6" s="83" t="s">
        <v>584</v>
      </c>
      <c r="T6" s="83"/>
      <c r="U6" s="83"/>
      <c r="V6" s="13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>
        <v>6</v>
      </c>
      <c r="AL6" s="28">
        <v>45260</v>
      </c>
      <c r="AM6" s="29"/>
      <c r="AN6" s="29">
        <v>3280.01</v>
      </c>
      <c r="AO6" s="29">
        <v>595.00099999999998</v>
      </c>
      <c r="AP6" s="27">
        <v>2</v>
      </c>
      <c r="AQ6" s="27">
        <v>30.738</v>
      </c>
      <c r="AR6" s="29"/>
      <c r="AS6" s="29"/>
      <c r="AT6" s="29"/>
      <c r="AU6" s="29"/>
      <c r="AV6" s="29"/>
      <c r="AW6" s="29"/>
      <c r="AX6" s="29" t="s">
        <v>780</v>
      </c>
      <c r="AY6" s="29"/>
      <c r="AZ6" s="29" t="s">
        <v>864</v>
      </c>
      <c r="BA6" s="29" t="s">
        <v>578</v>
      </c>
      <c r="BB6" s="29"/>
      <c r="BC6" s="29" t="s">
        <v>57</v>
      </c>
    </row>
    <row r="7" spans="1:55" x14ac:dyDescent="0.3">
      <c r="A7" s="146"/>
      <c r="B7" s="97">
        <v>45194</v>
      </c>
      <c r="C7" s="28"/>
      <c r="D7" s="28">
        <v>45196</v>
      </c>
      <c r="E7" s="28"/>
      <c r="F7" s="79" t="s">
        <v>294</v>
      </c>
      <c r="G7" s="80" t="s">
        <v>371</v>
      </c>
      <c r="H7" s="80">
        <v>3</v>
      </c>
      <c r="I7" s="80" t="s">
        <v>861</v>
      </c>
      <c r="J7" s="28" t="s">
        <v>278</v>
      </c>
      <c r="K7" s="29"/>
      <c r="L7" s="82">
        <v>9.02</v>
      </c>
      <c r="M7" s="32">
        <v>7775.9880000000003</v>
      </c>
      <c r="N7" s="33">
        <v>1.2569999999999999</v>
      </c>
      <c r="O7" s="29"/>
      <c r="P7" s="82" t="s">
        <v>370</v>
      </c>
      <c r="Q7" s="104">
        <v>0.53838961038961042</v>
      </c>
      <c r="R7" s="29"/>
      <c r="S7" s="83" t="s">
        <v>359</v>
      </c>
      <c r="T7" s="83"/>
      <c r="U7" s="83"/>
      <c r="V7" s="13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>
        <v>3</v>
      </c>
      <c r="AL7" s="28">
        <v>45225</v>
      </c>
      <c r="AM7" s="29"/>
      <c r="AN7" s="29">
        <v>1160</v>
      </c>
      <c r="AO7" s="29">
        <v>140</v>
      </c>
      <c r="AP7" s="27"/>
      <c r="AQ7" s="27">
        <v>29.251999999999999</v>
      </c>
      <c r="AR7" s="29"/>
      <c r="AS7" s="29"/>
      <c r="AT7" s="29"/>
      <c r="AU7" s="29"/>
      <c r="AV7" s="29"/>
      <c r="AW7" s="29"/>
      <c r="AX7" s="29" t="s">
        <v>780</v>
      </c>
      <c r="AY7" s="29"/>
      <c r="AZ7" s="29" t="s">
        <v>864</v>
      </c>
      <c r="BA7" s="29" t="s">
        <v>370</v>
      </c>
      <c r="BB7" s="29"/>
      <c r="BC7" s="29" t="s">
        <v>56</v>
      </c>
    </row>
    <row r="8" spans="1:55" x14ac:dyDescent="0.3">
      <c r="A8" s="146"/>
      <c r="B8" s="97">
        <v>45194</v>
      </c>
      <c r="C8" s="28"/>
      <c r="D8" s="28">
        <v>45196</v>
      </c>
      <c r="E8" s="28"/>
      <c r="F8" s="79" t="s">
        <v>294</v>
      </c>
      <c r="G8" s="80" t="s">
        <v>296</v>
      </c>
      <c r="H8" s="80">
        <v>4</v>
      </c>
      <c r="I8" s="80" t="s">
        <v>861</v>
      </c>
      <c r="J8" s="29" t="s">
        <v>349</v>
      </c>
      <c r="K8" s="29"/>
      <c r="L8" s="82">
        <v>21.02</v>
      </c>
      <c r="M8" s="32">
        <v>6410.0150000000003</v>
      </c>
      <c r="N8" s="33">
        <v>3.0609999999999999</v>
      </c>
      <c r="O8" s="29"/>
      <c r="P8" s="82" t="s">
        <v>565</v>
      </c>
      <c r="Q8" s="104">
        <v>0.58389610389610391</v>
      </c>
      <c r="R8" s="29"/>
      <c r="S8" s="83" t="s">
        <v>584</v>
      </c>
      <c r="T8" s="83"/>
      <c r="U8" s="83"/>
      <c r="V8" s="13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>
        <v>6</v>
      </c>
      <c r="AL8" s="28">
        <v>45260</v>
      </c>
      <c r="AM8" s="29"/>
      <c r="AN8" s="29">
        <v>3280.0070000000001</v>
      </c>
      <c r="AO8" s="29">
        <v>595.01</v>
      </c>
      <c r="AP8" s="27">
        <v>2</v>
      </c>
      <c r="AQ8" s="27">
        <v>27.55</v>
      </c>
      <c r="AR8" s="29"/>
      <c r="AS8" s="29"/>
      <c r="AT8" s="29"/>
      <c r="AU8" s="29"/>
      <c r="AV8" s="29"/>
      <c r="AW8" s="29"/>
      <c r="AX8" s="29" t="s">
        <v>780</v>
      </c>
      <c r="AY8" s="29"/>
      <c r="AZ8" s="29" t="s">
        <v>864</v>
      </c>
      <c r="BA8" s="89" t="s">
        <v>565</v>
      </c>
      <c r="BB8" s="29"/>
      <c r="BC8" s="29" t="s">
        <v>57</v>
      </c>
    </row>
    <row r="9" spans="1:55" x14ac:dyDescent="0.3">
      <c r="A9" s="146"/>
      <c r="B9" s="97">
        <v>45194</v>
      </c>
      <c r="C9" s="28"/>
      <c r="D9" s="28">
        <v>45196</v>
      </c>
      <c r="E9" s="28"/>
      <c r="F9" s="79" t="s">
        <v>294</v>
      </c>
      <c r="G9" s="80" t="s">
        <v>143</v>
      </c>
      <c r="H9" s="80">
        <v>4</v>
      </c>
      <c r="I9" s="80" t="s">
        <v>861</v>
      </c>
      <c r="J9" s="13" t="s">
        <v>278</v>
      </c>
      <c r="K9" s="29"/>
      <c r="L9" s="82">
        <v>7.08</v>
      </c>
      <c r="M9" s="32">
        <v>2081</v>
      </c>
      <c r="N9" s="33">
        <v>1.397</v>
      </c>
      <c r="O9" s="29"/>
      <c r="P9" s="82" t="s">
        <v>760</v>
      </c>
      <c r="Q9" s="104">
        <v>0.58389610389610391</v>
      </c>
      <c r="R9" s="29"/>
      <c r="S9" s="83" t="s">
        <v>277</v>
      </c>
      <c r="T9" s="83"/>
      <c r="U9" s="83"/>
      <c r="V9" s="13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>
        <v>3</v>
      </c>
      <c r="AL9" s="28">
        <v>45211</v>
      </c>
      <c r="AM9" s="29"/>
      <c r="AN9" s="29">
        <v>3400.0070000000001</v>
      </c>
      <c r="AO9" s="29">
        <v>200.00399999999999</v>
      </c>
      <c r="AP9" s="27"/>
      <c r="AQ9" s="27">
        <v>16.030999999999999</v>
      </c>
      <c r="AR9" s="29"/>
      <c r="AS9" s="29"/>
      <c r="AT9" s="29"/>
      <c r="AU9" s="29"/>
      <c r="AV9" s="29"/>
      <c r="AW9" s="29"/>
      <c r="AX9" s="29" t="s">
        <v>780</v>
      </c>
      <c r="AY9" s="29"/>
      <c r="AZ9" s="29" t="s">
        <v>864</v>
      </c>
      <c r="BA9" s="89" t="s">
        <v>760</v>
      </c>
      <c r="BB9" s="29"/>
      <c r="BC9" s="29" t="s">
        <v>56</v>
      </c>
    </row>
    <row r="10" spans="1:55" x14ac:dyDescent="0.3">
      <c r="A10" s="146"/>
      <c r="B10" s="97">
        <v>45194</v>
      </c>
      <c r="C10" s="28"/>
      <c r="D10" s="28">
        <v>45196</v>
      </c>
      <c r="E10" s="28"/>
      <c r="F10" s="79" t="s">
        <v>294</v>
      </c>
      <c r="G10" s="29" t="s">
        <v>199</v>
      </c>
      <c r="H10" s="29">
        <v>5</v>
      </c>
      <c r="I10" s="29" t="s">
        <v>861</v>
      </c>
      <c r="J10" s="13"/>
      <c r="K10" s="29"/>
      <c r="L10" s="82">
        <v>8.36</v>
      </c>
      <c r="M10" s="32">
        <v>2460</v>
      </c>
      <c r="N10" s="33">
        <v>1.61</v>
      </c>
      <c r="O10" s="29"/>
      <c r="P10" s="82" t="s">
        <v>772</v>
      </c>
      <c r="Q10" s="104">
        <v>0.45596153846153847</v>
      </c>
      <c r="R10" s="29"/>
      <c r="S10" s="83" t="s">
        <v>277</v>
      </c>
      <c r="T10" s="83"/>
      <c r="U10" s="83"/>
      <c r="V10" s="13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>
        <v>3</v>
      </c>
      <c r="AL10" s="28">
        <v>45211</v>
      </c>
      <c r="AM10" s="29"/>
      <c r="AN10" s="29">
        <v>3400.0070000000001</v>
      </c>
      <c r="AO10" s="29">
        <v>200.00200000000001</v>
      </c>
      <c r="AP10" s="27"/>
      <c r="AQ10" s="27">
        <v>31.757999999999999</v>
      </c>
      <c r="AR10" s="29"/>
      <c r="AS10" s="29"/>
      <c r="AT10" s="29"/>
      <c r="AU10" s="29"/>
      <c r="AV10" s="29"/>
      <c r="AW10" s="29"/>
      <c r="AX10" s="29" t="s">
        <v>780</v>
      </c>
      <c r="AY10" s="29"/>
      <c r="AZ10" s="29" t="s">
        <v>864</v>
      </c>
      <c r="BA10" s="89" t="s">
        <v>772</v>
      </c>
      <c r="BB10" s="29"/>
      <c r="BC10" s="29" t="s">
        <v>56</v>
      </c>
    </row>
    <row r="11" spans="1:55" x14ac:dyDescent="0.3">
      <c r="A11" s="146"/>
      <c r="B11" s="97">
        <v>45194</v>
      </c>
      <c r="C11" s="28"/>
      <c r="D11" s="28">
        <v>45196</v>
      </c>
      <c r="E11" s="28"/>
      <c r="F11" s="79" t="s">
        <v>294</v>
      </c>
      <c r="G11" s="80" t="s">
        <v>384</v>
      </c>
      <c r="H11" s="80">
        <v>5</v>
      </c>
      <c r="I11" s="80" t="s">
        <v>861</v>
      </c>
      <c r="J11" s="29" t="s">
        <v>349</v>
      </c>
      <c r="K11" s="29"/>
      <c r="L11" s="82">
        <v>15.35</v>
      </c>
      <c r="M11" s="32">
        <v>4679.9870000000001</v>
      </c>
      <c r="N11" s="33">
        <v>2.1720000000000002</v>
      </c>
      <c r="O11" s="29"/>
      <c r="P11" s="82" t="s">
        <v>573</v>
      </c>
      <c r="Q11" s="104">
        <v>0.45596153846153847</v>
      </c>
      <c r="R11" s="29"/>
      <c r="S11" s="83" t="s">
        <v>584</v>
      </c>
      <c r="T11" s="83"/>
      <c r="U11" s="83"/>
      <c r="V11" s="13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>
        <v>5</v>
      </c>
      <c r="AL11" s="28">
        <v>45246</v>
      </c>
      <c r="AM11" s="29"/>
      <c r="AN11" s="29">
        <v>3280.01</v>
      </c>
      <c r="AO11" s="29">
        <v>595.01099999999997</v>
      </c>
      <c r="AP11" s="27">
        <v>1</v>
      </c>
      <c r="AQ11" s="27">
        <v>22.518999999999998</v>
      </c>
      <c r="AR11" s="29"/>
      <c r="AS11" s="29"/>
      <c r="AT11" s="29"/>
      <c r="AU11" s="29"/>
      <c r="AV11" s="29"/>
      <c r="AW11" s="29"/>
      <c r="AX11" s="29" t="s">
        <v>780</v>
      </c>
      <c r="AY11" s="29"/>
      <c r="AZ11" s="29" t="s">
        <v>864</v>
      </c>
      <c r="BA11" s="89" t="s">
        <v>573</v>
      </c>
      <c r="BB11" s="29"/>
      <c r="BC11" s="29" t="s">
        <v>57</v>
      </c>
    </row>
  </sheetData>
  <mergeCells count="1">
    <mergeCell ref="A2:A11"/>
  </mergeCells>
  <conditionalFormatting sqref="F2:F11">
    <cfRule type="expression" dxfId="8" priority="1">
      <formula>(F2&lt;&gt;"")*(file_exists("\\192.168.100.121\Gamybos_padalinys\Gamybos_planavimo_skyrius\Gamyba\"&amp;F2&amp;"\REIKALAVIMAI\Sienos\*.pdf")=FALSE)</formula>
    </cfRule>
  </conditionalFormatting>
  <conditionalFormatting sqref="B2:BC11">
    <cfRule type="expression" dxfId="7" priority="2">
      <formula>($E2&lt;&gt;"")*($AM2=1)</formula>
    </cfRule>
    <cfRule type="expression" dxfId="6" priority="3">
      <formula>($E2&lt;&gt;"")*($AM2=2)</formula>
    </cfRule>
    <cfRule type="expression" dxfId="5" priority="4">
      <formula>($E2&lt;&gt;"")*($AM2=3)</formula>
    </cfRule>
    <cfRule type="expression" dxfId="4" priority="5">
      <formula>($E2&lt;&gt;"")*($AM2=4)</formula>
    </cfRule>
    <cfRule type="expression" dxfId="3" priority="6">
      <formula>($E2&lt;&gt;"")*($AM2=5)</formula>
    </cfRule>
    <cfRule type="expression" dxfId="2" priority="7">
      <formula>($E2&lt;&gt;"")*($AM2=6)</formula>
    </cfRule>
    <cfRule type="expression" dxfId="1" priority="8">
      <formula>($BA2&lt;&gt;"")*OR($E2="",$E2="-")*($AL2&lt;=$D2)</formula>
    </cfRule>
    <cfRule type="expression" dxfId="0" priority="9">
      <formula>($BA2&lt;&gt;"")*(MOD($H2,2)=0)*(ISNUMBER($O2)=FALSE)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 filterMode="1">
    <tabColor rgb="FF92D050"/>
    <pageSetUpPr fitToPage="1"/>
  </sheetPr>
  <dimension ref="A1:BC317"/>
  <sheetViews>
    <sheetView zoomScale="85" zoomScaleNormal="85" workbookViewId="0">
      <pane ySplit="1" topLeftCell="A10" activePane="bottomLeft" state="frozen"/>
      <selection pane="bottomLeft" activeCell="N1" sqref="N1:Q1"/>
    </sheetView>
  </sheetViews>
  <sheetFormatPr defaultColWidth="9.109375" defaultRowHeight="13.8" x14ac:dyDescent="0.3"/>
  <cols>
    <col min="1" max="1" width="25.44140625" style="1" customWidth="1"/>
    <col min="2" max="2" width="18.88671875" style="1" customWidth="1"/>
    <col min="3" max="3" width="8.6640625" style="1" customWidth="1"/>
    <col min="4" max="4" width="4.6640625" style="1" customWidth="1"/>
    <col min="5" max="7" width="8.6640625" style="2" customWidth="1"/>
    <col min="8" max="8" width="8.6640625" style="2" bestFit="1" customWidth="1"/>
    <col min="9" max="9" width="9.6640625" style="1" customWidth="1"/>
    <col min="10" max="10" width="12.109375" style="1" customWidth="1"/>
    <col min="11" max="11" width="12.6640625" style="3" customWidth="1"/>
    <col min="12" max="12" width="44" style="3" customWidth="1"/>
    <col min="13" max="13" width="16" style="115" customWidth="1"/>
    <col min="14" max="15" width="7.6640625" style="1" hidden="1" customWidth="1"/>
    <col min="16" max="16" width="4.44140625" style="1" hidden="1" customWidth="1"/>
    <col min="17" max="19" width="7.6640625" style="1" hidden="1" customWidth="1"/>
    <col min="20" max="20" width="8.88671875" style="1" customWidth="1"/>
    <col min="21" max="21" width="9.6640625" style="113" customWidth="1"/>
    <col min="22" max="22" width="9.88671875" style="4" customWidth="1"/>
    <col min="23" max="23" width="9.88671875" style="4" hidden="1" customWidth="1"/>
    <col min="24" max="28" width="9.88671875" style="2" hidden="1" customWidth="1"/>
    <col min="29" max="29" width="9.44140625" style="1" hidden="1" customWidth="1"/>
    <col min="30" max="30" width="20.88671875" style="4" hidden="1" customWidth="1"/>
    <col min="31" max="31" width="12.88671875" style="4" hidden="1" customWidth="1"/>
    <col min="32" max="32" width="11.44140625" style="1" customWidth="1"/>
    <col min="33" max="33" width="8.6640625" style="1" customWidth="1"/>
    <col min="34" max="37" width="9.88671875" style="4" hidden="1" customWidth="1"/>
    <col min="38" max="38" width="13.33203125" style="1" hidden="1" customWidth="1"/>
    <col min="39" max="39" width="10" style="99" hidden="1" customWidth="1"/>
    <col min="40" max="40" width="10" style="4" hidden="1" customWidth="1"/>
    <col min="41" max="41" width="10" style="1" hidden="1" customWidth="1"/>
    <col min="42" max="42" width="10" style="2" hidden="1" customWidth="1"/>
    <col min="43" max="43" width="10" style="4" hidden="1" customWidth="1"/>
    <col min="44" max="44" width="9.88671875" style="4" customWidth="1"/>
    <col min="45" max="46" width="9.44140625" style="4" hidden="1" customWidth="1"/>
    <col min="47" max="52" width="9.44140625" style="1" hidden="1" customWidth="1"/>
    <col min="53" max="53" width="46.44140625" style="1" hidden="1" customWidth="1"/>
    <col min="54" max="54" width="17.33203125" style="1" hidden="1" customWidth="1"/>
    <col min="55" max="55" width="9.44140625" style="1" hidden="1" customWidth="1"/>
    <col min="56" max="16384" width="9.109375" style="1"/>
  </cols>
  <sheetData>
    <row r="1" spans="1:55" ht="42" thickBot="1" x14ac:dyDescent="0.35">
      <c r="A1" s="5" t="s">
        <v>48</v>
      </c>
      <c r="B1" s="6" t="s">
        <v>38</v>
      </c>
      <c r="C1" s="7" t="s">
        <v>49</v>
      </c>
      <c r="D1" s="7" t="s">
        <v>10</v>
      </c>
      <c r="E1" s="8" t="s">
        <v>39</v>
      </c>
      <c r="F1" s="8" t="s">
        <v>40</v>
      </c>
      <c r="G1" s="8" t="s">
        <v>55</v>
      </c>
      <c r="H1" s="8" t="s">
        <v>41</v>
      </c>
      <c r="I1" s="7" t="s">
        <v>42</v>
      </c>
      <c r="J1" s="7" t="s">
        <v>43</v>
      </c>
      <c r="K1" s="9" t="s">
        <v>44</v>
      </c>
      <c r="L1" s="9" t="s">
        <v>45</v>
      </c>
      <c r="M1" s="116" t="s">
        <v>46</v>
      </c>
      <c r="N1" s="7" t="s">
        <v>60</v>
      </c>
      <c r="O1" s="7" t="s">
        <v>72</v>
      </c>
      <c r="P1" s="19" t="s">
        <v>73</v>
      </c>
      <c r="Q1" s="7" t="s">
        <v>71</v>
      </c>
      <c r="R1" s="20" t="s">
        <v>74</v>
      </c>
      <c r="S1" s="20" t="s">
        <v>75</v>
      </c>
      <c r="T1" s="7" t="s">
        <v>16</v>
      </c>
      <c r="U1" s="112" t="s">
        <v>22</v>
      </c>
      <c r="V1" s="22" t="s">
        <v>35</v>
      </c>
      <c r="W1" s="21" t="s">
        <v>110</v>
      </c>
      <c r="X1" s="23" t="s">
        <v>111</v>
      </c>
      <c r="Y1" s="23" t="s">
        <v>113</v>
      </c>
      <c r="Z1" s="23" t="s">
        <v>67</v>
      </c>
      <c r="AA1" s="23" t="s">
        <v>69</v>
      </c>
      <c r="AB1" s="23" t="s">
        <v>68</v>
      </c>
      <c r="AC1" s="120" t="s">
        <v>248</v>
      </c>
      <c r="AD1" s="25" t="s">
        <v>174</v>
      </c>
      <c r="AE1" s="14" t="s">
        <v>87</v>
      </c>
      <c r="AF1" s="5" t="s">
        <v>188</v>
      </c>
      <c r="AG1" s="5" t="s">
        <v>189</v>
      </c>
      <c r="AH1" s="14" t="s">
        <v>89</v>
      </c>
      <c r="AI1" s="14" t="s">
        <v>90</v>
      </c>
      <c r="AJ1" s="14" t="s">
        <v>91</v>
      </c>
      <c r="AK1" s="14" t="s">
        <v>92</v>
      </c>
      <c r="AL1" s="86" t="s">
        <v>93</v>
      </c>
      <c r="AM1" s="98" t="s">
        <v>94</v>
      </c>
      <c r="AN1" s="14" t="s">
        <v>95</v>
      </c>
      <c r="AO1" s="86" t="s">
        <v>96</v>
      </c>
      <c r="AP1" s="137" t="s">
        <v>97</v>
      </c>
      <c r="AQ1" s="14" t="s">
        <v>98</v>
      </c>
      <c r="AR1" s="11" t="s">
        <v>47</v>
      </c>
      <c r="AS1" s="12" t="s">
        <v>99</v>
      </c>
      <c r="AT1" s="10" t="s">
        <v>84</v>
      </c>
      <c r="AU1" s="14" t="s">
        <v>100</v>
      </c>
      <c r="AV1" s="16" t="s">
        <v>101</v>
      </c>
      <c r="AW1" s="18" t="s">
        <v>83</v>
      </c>
      <c r="AX1" s="17" t="s">
        <v>58</v>
      </c>
      <c r="AY1" s="17" t="s">
        <v>59</v>
      </c>
      <c r="AZ1" s="18" t="s">
        <v>82</v>
      </c>
      <c r="BA1" s="10" t="s">
        <v>34</v>
      </c>
      <c r="BB1" s="15" t="s">
        <v>36</v>
      </c>
      <c r="BC1" s="15" t="s">
        <v>179</v>
      </c>
    </row>
    <row r="2" spans="1:55" ht="14.4" hidden="1" x14ac:dyDescent="0.3">
      <c r="A2" s="1" t="s">
        <v>294</v>
      </c>
      <c r="B2" s="124" t="s">
        <v>219</v>
      </c>
      <c r="C2" s="1" t="s">
        <v>56</v>
      </c>
      <c r="D2" s="1">
        <v>4</v>
      </c>
      <c r="E2" s="2">
        <v>3130.0230000000001</v>
      </c>
      <c r="F2" s="2">
        <v>5660.9970000000003</v>
      </c>
      <c r="G2" s="2">
        <v>400.00599999999997</v>
      </c>
      <c r="H2" s="2">
        <v>8373.59</v>
      </c>
      <c r="J2" s="1">
        <v>10000</v>
      </c>
      <c r="L2" s="3" t="s">
        <v>278</v>
      </c>
      <c r="M2" s="115">
        <v>45244</v>
      </c>
      <c r="V2" s="4">
        <v>17.72</v>
      </c>
      <c r="W2" s="4">
        <v>3.41</v>
      </c>
      <c r="AD2" s="4" t="s">
        <v>277</v>
      </c>
      <c r="AF2" s="1" t="s">
        <v>706</v>
      </c>
      <c r="AG2" s="1" t="s">
        <v>713</v>
      </c>
      <c r="AL2" s="1" t="s">
        <v>708</v>
      </c>
      <c r="AM2" s="99">
        <v>45245</v>
      </c>
      <c r="AP2" s="2">
        <v>1</v>
      </c>
      <c r="AQ2" s="4">
        <v>50.408999999999999</v>
      </c>
      <c r="AR2" s="4" t="str">
        <f>IF(ISNA(MATCH($BA2,planas!$BA:$BA,0)),"ne","taip")</f>
        <v>ne</v>
      </c>
      <c r="BA2" s="1" t="s">
        <v>407</v>
      </c>
      <c r="BB2" s="1">
        <f>MOD(SUMPRODUCT(--($T$1:$T1&lt;&gt;$T$2:$T2)),2)</f>
        <v>1</v>
      </c>
    </row>
    <row r="3" spans="1:55" ht="14.4" hidden="1" x14ac:dyDescent="0.3">
      <c r="A3" s="1" t="s">
        <v>294</v>
      </c>
      <c r="B3" s="124" t="s">
        <v>287</v>
      </c>
      <c r="C3" s="1" t="s">
        <v>56</v>
      </c>
      <c r="D3" s="1">
        <v>2</v>
      </c>
      <c r="E3" s="2">
        <v>1160</v>
      </c>
      <c r="F3" s="2">
        <v>6575</v>
      </c>
      <c r="G3" s="2">
        <v>140</v>
      </c>
      <c r="H3" s="2">
        <v>2622.99</v>
      </c>
      <c r="J3" s="1">
        <v>16190</v>
      </c>
      <c r="L3" s="3" t="s">
        <v>753</v>
      </c>
      <c r="M3" s="115">
        <v>45291</v>
      </c>
      <c r="V3" s="4">
        <v>7.63</v>
      </c>
      <c r="W3" s="4">
        <v>1.0609999999999999</v>
      </c>
      <c r="AD3" s="4" t="s">
        <v>359</v>
      </c>
      <c r="AF3" s="1" t="s">
        <v>710</v>
      </c>
      <c r="AG3" s="1" t="s">
        <v>709</v>
      </c>
      <c r="AL3" s="1" t="s">
        <v>708</v>
      </c>
      <c r="AM3" s="99">
        <v>45287</v>
      </c>
      <c r="AQ3" s="4">
        <v>22.06</v>
      </c>
      <c r="AR3" s="4" t="str">
        <f>IF(ISNA(MATCH($BA3,planas!$BA:$BA,0)),"ne","taip")</f>
        <v>ne</v>
      </c>
      <c r="BA3" s="1" t="s">
        <v>687</v>
      </c>
      <c r="BB3" s="1">
        <f>MOD(SUMPRODUCT(--($T$1:$T2&lt;&gt;$T$2:$T3)),2)</f>
        <v>1</v>
      </c>
    </row>
    <row r="4" spans="1:55" ht="14.4" hidden="1" x14ac:dyDescent="0.3">
      <c r="A4" s="1" t="s">
        <v>294</v>
      </c>
      <c r="B4" s="124" t="s">
        <v>231</v>
      </c>
      <c r="C4" s="1" t="s">
        <v>56</v>
      </c>
      <c r="D4" s="1">
        <v>4</v>
      </c>
      <c r="E4" s="2">
        <v>2920.0070000000001</v>
      </c>
      <c r="F4" s="2">
        <v>5331</v>
      </c>
      <c r="G4" s="2">
        <v>200.00399999999999</v>
      </c>
      <c r="H4" s="2">
        <v>7584.72</v>
      </c>
      <c r="J4" s="1">
        <v>10980</v>
      </c>
      <c r="L4" s="3" t="s">
        <v>278</v>
      </c>
      <c r="M4" s="115">
        <v>45247</v>
      </c>
      <c r="V4" s="4">
        <v>15.57</v>
      </c>
      <c r="W4" s="4">
        <v>3.1040000000000001</v>
      </c>
      <c r="AD4" s="4" t="s">
        <v>277</v>
      </c>
      <c r="AF4" s="1" t="s">
        <v>712</v>
      </c>
      <c r="AG4" s="1" t="s">
        <v>711</v>
      </c>
      <c r="AL4" s="1" t="s">
        <v>708</v>
      </c>
      <c r="AM4" s="99">
        <v>45250</v>
      </c>
      <c r="AQ4" s="4">
        <v>19.393999999999998</v>
      </c>
      <c r="AR4" s="4" t="str">
        <f>IF(ISNA(MATCH($BA4,planas!$BA:$BA,0)),"ne","taip")</f>
        <v>ne</v>
      </c>
      <c r="BA4" s="1" t="s">
        <v>410</v>
      </c>
      <c r="BB4" s="1">
        <f>MOD(SUMPRODUCT(--($T$1:$T3&lt;&gt;$T$2:$T4)),2)</f>
        <v>1</v>
      </c>
    </row>
    <row r="5" spans="1:55" ht="14.4" hidden="1" x14ac:dyDescent="0.3">
      <c r="A5" s="1" t="s">
        <v>294</v>
      </c>
      <c r="B5" s="124" t="s">
        <v>290</v>
      </c>
      <c r="C5" s="1" t="s">
        <v>56</v>
      </c>
      <c r="D5" s="1">
        <v>1</v>
      </c>
      <c r="E5" s="2">
        <v>1110</v>
      </c>
      <c r="F5" s="2">
        <v>6171</v>
      </c>
      <c r="G5" s="2">
        <v>140</v>
      </c>
      <c r="H5" s="2">
        <v>2356.23</v>
      </c>
      <c r="J5" s="1">
        <v>15620</v>
      </c>
      <c r="L5" s="3" t="s">
        <v>278</v>
      </c>
      <c r="M5" s="115">
        <v>45278</v>
      </c>
      <c r="V5" s="4">
        <v>6.85</v>
      </c>
      <c r="W5" s="4">
        <v>0.95299999999999996</v>
      </c>
      <c r="AD5" s="4" t="s">
        <v>359</v>
      </c>
      <c r="AF5" s="1" t="s">
        <v>710</v>
      </c>
      <c r="AG5" s="1" t="s">
        <v>707</v>
      </c>
      <c r="AL5" s="1" t="s">
        <v>708</v>
      </c>
      <c r="AM5" s="99">
        <v>45279</v>
      </c>
      <c r="AQ5" s="4">
        <v>20.295999999999999</v>
      </c>
      <c r="AR5" s="4" t="str">
        <f>IF(ISNA(MATCH($BA5,planas!$BA:$BA,0)),"ne","taip")</f>
        <v>ne</v>
      </c>
      <c r="BA5" s="1" t="s">
        <v>668</v>
      </c>
      <c r="BB5" s="1">
        <f>MOD(SUMPRODUCT(--($T$1:$T4&lt;&gt;$T$2:$T5)),2)</f>
        <v>1</v>
      </c>
    </row>
    <row r="6" spans="1:55" ht="14.4" hidden="1" x14ac:dyDescent="0.3">
      <c r="A6" s="1" t="s">
        <v>294</v>
      </c>
      <c r="B6" s="124" t="s">
        <v>209</v>
      </c>
      <c r="C6" s="1" t="s">
        <v>56</v>
      </c>
      <c r="D6" s="1">
        <v>1</v>
      </c>
      <c r="E6" s="2">
        <v>3130</v>
      </c>
      <c r="F6" s="2">
        <v>5451.0060000000003</v>
      </c>
      <c r="G6" s="2">
        <v>200.02600000000001</v>
      </c>
      <c r="H6" s="2">
        <v>7160.02</v>
      </c>
      <c r="J6" s="1">
        <v>8900</v>
      </c>
      <c r="L6" s="3" t="s">
        <v>278</v>
      </c>
      <c r="M6" s="115">
        <v>45237</v>
      </c>
      <c r="V6" s="4">
        <v>17.059999999999999</v>
      </c>
      <c r="W6" s="4">
        <v>2.9119999999999999</v>
      </c>
      <c r="AD6" s="4" t="s">
        <v>293</v>
      </c>
      <c r="AF6" s="1" t="s">
        <v>706</v>
      </c>
      <c r="AG6" s="1" t="s">
        <v>755</v>
      </c>
      <c r="AL6" s="1" t="s">
        <v>708</v>
      </c>
      <c r="AM6" s="99">
        <v>45238</v>
      </c>
      <c r="AQ6" s="4">
        <v>34.75</v>
      </c>
      <c r="AR6" s="4" t="str">
        <f>IF(ISNA(MATCH($BA6,planas!$BA:$BA,0)),"ne","taip")</f>
        <v>ne</v>
      </c>
      <c r="BA6" s="1" t="s">
        <v>508</v>
      </c>
      <c r="BB6" s="1">
        <f>MOD(SUMPRODUCT(--($T$1:$T5&lt;&gt;$T$2:$T6)),2)</f>
        <v>1</v>
      </c>
    </row>
    <row r="7" spans="1:55" ht="14.4" hidden="1" x14ac:dyDescent="0.3">
      <c r="A7" s="1" t="s">
        <v>294</v>
      </c>
      <c r="B7" s="124" t="s">
        <v>267</v>
      </c>
      <c r="C7" s="1" t="s">
        <v>56</v>
      </c>
      <c r="D7" s="1">
        <v>4</v>
      </c>
      <c r="E7" s="2">
        <v>3130.0070000000001</v>
      </c>
      <c r="F7" s="2">
        <v>7810</v>
      </c>
      <c r="G7" s="2">
        <v>200.00299999999999</v>
      </c>
      <c r="H7" s="2">
        <v>11113.58</v>
      </c>
      <c r="J7" s="1">
        <v>13240</v>
      </c>
      <c r="L7" s="3" t="s">
        <v>753</v>
      </c>
      <c r="M7" s="115">
        <v>45261</v>
      </c>
      <c r="V7" s="4">
        <v>24.45</v>
      </c>
      <c r="W7" s="4">
        <v>4.5380000000000003</v>
      </c>
      <c r="AD7" s="4" t="s">
        <v>277</v>
      </c>
      <c r="AF7" s="1" t="s">
        <v>710</v>
      </c>
      <c r="AG7" s="1" t="s">
        <v>712</v>
      </c>
      <c r="AL7" s="1" t="s">
        <v>708</v>
      </c>
      <c r="AM7" s="99">
        <v>45264</v>
      </c>
      <c r="AQ7" s="4">
        <v>46.154000000000003</v>
      </c>
      <c r="AR7" s="4" t="str">
        <f>IF(ISNA(MATCH($BA7,planas!$BA:$BA,0)),"ne","taip")</f>
        <v>ne</v>
      </c>
      <c r="BA7" s="1" t="s">
        <v>467</v>
      </c>
      <c r="BB7" s="1">
        <f>MOD(SUMPRODUCT(--($T$1:$T6&lt;&gt;$T$2:$T7)),2)</f>
        <v>1</v>
      </c>
    </row>
    <row r="8" spans="1:55" ht="14.4" hidden="1" x14ac:dyDescent="0.3">
      <c r="A8" s="1" t="s">
        <v>294</v>
      </c>
      <c r="B8" s="124" t="s">
        <v>308</v>
      </c>
      <c r="C8" s="1" t="s">
        <v>57</v>
      </c>
      <c r="D8" s="1">
        <v>2</v>
      </c>
      <c r="E8" s="2">
        <v>3280.0070000000001</v>
      </c>
      <c r="F8" s="2">
        <v>8414.9989999999998</v>
      </c>
      <c r="G8" s="2">
        <v>595.02599999999995</v>
      </c>
      <c r="H8" s="2">
        <v>10393.75</v>
      </c>
      <c r="J8" s="1">
        <v>13150</v>
      </c>
      <c r="L8" s="3" t="s">
        <v>348</v>
      </c>
      <c r="M8" s="115">
        <v>45261</v>
      </c>
      <c r="V8" s="4">
        <v>27.6</v>
      </c>
      <c r="W8" s="4">
        <v>4.1100000000000003</v>
      </c>
      <c r="AD8" s="4" t="s">
        <v>584</v>
      </c>
      <c r="AF8" s="1" t="s">
        <v>710</v>
      </c>
      <c r="AG8" s="1" t="s">
        <v>712</v>
      </c>
      <c r="AL8" s="1" t="s">
        <v>280</v>
      </c>
      <c r="AM8" s="99">
        <v>45264</v>
      </c>
      <c r="AP8" s="2">
        <v>1</v>
      </c>
      <c r="AQ8" s="4">
        <v>47.563000000000002</v>
      </c>
      <c r="AR8" s="4" t="str">
        <f>IF(ISNA(MATCH($BA8,planas!$BA:$BA,0)),"ne","taip")</f>
        <v>ne</v>
      </c>
      <c r="BA8" s="1" t="s">
        <v>601</v>
      </c>
      <c r="BB8" s="1">
        <f>MOD(SUMPRODUCT(--($T$1:$T7&lt;&gt;$T$2:$T8)),2)</f>
        <v>1</v>
      </c>
    </row>
    <row r="9" spans="1:55" ht="14.4" hidden="1" x14ac:dyDescent="0.3">
      <c r="A9" s="1" t="s">
        <v>294</v>
      </c>
      <c r="B9" s="124" t="s">
        <v>140</v>
      </c>
      <c r="C9" s="1" t="s">
        <v>56</v>
      </c>
      <c r="D9" s="1">
        <v>1</v>
      </c>
      <c r="E9" s="2">
        <v>3120</v>
      </c>
      <c r="F9" s="2">
        <v>1560</v>
      </c>
      <c r="G9" s="2">
        <v>200</v>
      </c>
      <c r="H9" s="2">
        <v>2363.4</v>
      </c>
      <c r="J9" s="1">
        <v>8960</v>
      </c>
      <c r="L9" s="3" t="s">
        <v>753</v>
      </c>
      <c r="M9" s="115">
        <v>45237</v>
      </c>
      <c r="V9" s="4">
        <v>4.87</v>
      </c>
      <c r="W9" s="4">
        <v>0.96599999999999997</v>
      </c>
      <c r="AD9" s="4" t="s">
        <v>277</v>
      </c>
      <c r="AF9" s="1" t="s">
        <v>706</v>
      </c>
      <c r="AG9" s="1" t="s">
        <v>755</v>
      </c>
      <c r="AL9" s="1" t="s">
        <v>708</v>
      </c>
      <c r="AM9" s="99">
        <v>45238</v>
      </c>
      <c r="AQ9" s="4">
        <v>7.58</v>
      </c>
      <c r="AR9" s="4" t="str">
        <f>IF(ISNA(MATCH($BA9,planas!$BA:$BA,0)),"ne","taip")</f>
        <v>ne</v>
      </c>
      <c r="BA9" s="1" t="s">
        <v>513</v>
      </c>
      <c r="BB9" s="1">
        <f>MOD(SUMPRODUCT(--($T$1:$T8&lt;&gt;$T$2:$T9)),2)</f>
        <v>1</v>
      </c>
    </row>
    <row r="10" spans="1:55" ht="14.4" x14ac:dyDescent="0.3">
      <c r="A10" s="1" t="s">
        <v>294</v>
      </c>
      <c r="B10" s="124" t="s">
        <v>259</v>
      </c>
      <c r="C10" s="1" t="s">
        <v>56</v>
      </c>
      <c r="D10" s="1">
        <v>1</v>
      </c>
      <c r="E10" s="2">
        <v>3420.0070000000001</v>
      </c>
      <c r="F10" s="2">
        <v>4145</v>
      </c>
      <c r="G10" s="2">
        <v>200.00299999999999</v>
      </c>
      <c r="H10" s="2">
        <v>6897.85</v>
      </c>
      <c r="J10" s="1">
        <v>6160</v>
      </c>
      <c r="K10" s="3">
        <v>45159</v>
      </c>
      <c r="L10" s="3" t="s">
        <v>753</v>
      </c>
      <c r="M10" s="115">
        <v>45215</v>
      </c>
      <c r="T10" s="1">
        <v>1</v>
      </c>
      <c r="U10" s="113">
        <v>0.48561038961038955</v>
      </c>
      <c r="V10" s="4">
        <v>14.18</v>
      </c>
      <c r="W10" s="4">
        <v>2.8170000000000002</v>
      </c>
      <c r="AC10" s="1">
        <v>2</v>
      </c>
      <c r="AD10" s="4" t="s">
        <v>277</v>
      </c>
      <c r="AF10" s="1" t="s">
        <v>711</v>
      </c>
      <c r="AG10" s="1" t="s">
        <v>710</v>
      </c>
      <c r="AL10" s="1" t="s">
        <v>708</v>
      </c>
      <c r="AM10" s="99">
        <v>45216</v>
      </c>
      <c r="AQ10" s="4">
        <v>21.533000000000001</v>
      </c>
      <c r="AR10" s="4" t="str">
        <f>IF(ISNA(MATCH($BA10,planas!$BA:$BA,0)),"ne","taip")</f>
        <v>taip</v>
      </c>
      <c r="BA10" s="1" t="s">
        <v>768</v>
      </c>
      <c r="BB10" s="1">
        <f>MOD(SUMPRODUCT(--($T$1:$T9&lt;&gt;$T$2:$T10)),2)</f>
        <v>0</v>
      </c>
    </row>
    <row r="11" spans="1:55" ht="14.4" hidden="1" x14ac:dyDescent="0.3">
      <c r="A11" s="1" t="s">
        <v>294</v>
      </c>
      <c r="B11" s="124" t="s">
        <v>322</v>
      </c>
      <c r="C11" s="1" t="s">
        <v>57</v>
      </c>
      <c r="D11" s="1">
        <v>1</v>
      </c>
      <c r="E11" s="2">
        <v>3270.0070000000001</v>
      </c>
      <c r="F11" s="2">
        <v>8414.9989999999998</v>
      </c>
      <c r="G11" s="2">
        <v>595.03499999999997</v>
      </c>
      <c r="H11" s="2">
        <v>10461.35</v>
      </c>
      <c r="J11" s="1">
        <v>8650</v>
      </c>
      <c r="L11" s="3" t="s">
        <v>348</v>
      </c>
      <c r="M11" s="115">
        <v>45236</v>
      </c>
      <c r="V11" s="4">
        <v>27.52</v>
      </c>
      <c r="W11" s="4">
        <v>4.165</v>
      </c>
      <c r="AD11" s="4" t="s">
        <v>584</v>
      </c>
      <c r="AF11" s="1" t="s">
        <v>706</v>
      </c>
      <c r="AG11" s="1" t="s">
        <v>755</v>
      </c>
      <c r="AL11" s="1" t="s">
        <v>280</v>
      </c>
      <c r="AM11" s="99">
        <v>45237</v>
      </c>
      <c r="AP11" s="2">
        <v>1</v>
      </c>
      <c r="AQ11" s="4">
        <v>36.942999999999998</v>
      </c>
      <c r="AR11" s="4" t="str">
        <f>IF(ISNA(MATCH($BA11,planas!$BA:$BA,0)),"ne","taip")</f>
        <v>ne</v>
      </c>
      <c r="BA11" s="1" t="s">
        <v>530</v>
      </c>
      <c r="BB11" s="1">
        <f>MOD(SUMPRODUCT(--($T$1:$T10&lt;&gt;$T$2:$T11)),2)</f>
        <v>1</v>
      </c>
    </row>
    <row r="12" spans="1:55" ht="14.4" hidden="1" x14ac:dyDescent="0.3">
      <c r="A12" s="1" t="s">
        <v>294</v>
      </c>
      <c r="B12" s="124" t="s">
        <v>266</v>
      </c>
      <c r="C12" s="1" t="s">
        <v>56</v>
      </c>
      <c r="D12" s="1">
        <v>1</v>
      </c>
      <c r="E12" s="2">
        <v>3120</v>
      </c>
      <c r="F12" s="2">
        <v>1560</v>
      </c>
      <c r="G12" s="2">
        <v>200</v>
      </c>
      <c r="H12" s="2">
        <v>2363.4</v>
      </c>
      <c r="J12" s="1">
        <v>8970</v>
      </c>
      <c r="L12" s="3" t="s">
        <v>753</v>
      </c>
      <c r="M12" s="115">
        <v>45237</v>
      </c>
      <c r="V12" s="4">
        <v>4.87</v>
      </c>
      <c r="W12" s="4">
        <v>0.96599999999999997</v>
      </c>
      <c r="AD12" s="4" t="s">
        <v>277</v>
      </c>
      <c r="AF12" s="1" t="s">
        <v>706</v>
      </c>
      <c r="AG12" s="1" t="s">
        <v>755</v>
      </c>
      <c r="AL12" s="1" t="s">
        <v>708</v>
      </c>
      <c r="AM12" s="99">
        <v>45238</v>
      </c>
      <c r="AQ12" s="4">
        <v>7.58</v>
      </c>
      <c r="AR12" s="4" t="str">
        <f>IF(ISNA(MATCH($BA12,planas!$BA:$BA,0)),"ne","taip")</f>
        <v>ne</v>
      </c>
      <c r="BA12" s="1" t="s">
        <v>531</v>
      </c>
      <c r="BB12" s="1">
        <f>MOD(SUMPRODUCT(--($T$1:$T11&lt;&gt;$T$2:$T12)),2)</f>
        <v>1</v>
      </c>
    </row>
    <row r="13" spans="1:55" ht="14.4" hidden="1" x14ac:dyDescent="0.3">
      <c r="A13" s="1" t="s">
        <v>294</v>
      </c>
      <c r="B13" s="124" t="s">
        <v>218</v>
      </c>
      <c r="C13" s="1" t="s">
        <v>56</v>
      </c>
      <c r="D13" s="1">
        <v>1</v>
      </c>
      <c r="E13" s="2">
        <v>3630.0149999999999</v>
      </c>
      <c r="F13" s="2">
        <v>8030</v>
      </c>
      <c r="G13" s="2">
        <v>200.00299999999999</v>
      </c>
      <c r="H13" s="2">
        <v>9426.1299999999992</v>
      </c>
      <c r="J13" s="1">
        <v>14380</v>
      </c>
      <c r="L13" s="3" t="s">
        <v>754</v>
      </c>
      <c r="M13" s="115">
        <v>45268</v>
      </c>
      <c r="V13" s="4">
        <v>29.15</v>
      </c>
      <c r="W13" s="4">
        <v>3.8239999999999998</v>
      </c>
      <c r="AD13" s="4" t="s">
        <v>293</v>
      </c>
      <c r="AF13" s="1" t="s">
        <v>710</v>
      </c>
      <c r="AG13" s="1" t="s">
        <v>710</v>
      </c>
      <c r="AL13" s="1" t="s">
        <v>708</v>
      </c>
      <c r="AM13" s="99">
        <v>45271</v>
      </c>
      <c r="AP13" s="2">
        <v>1</v>
      </c>
      <c r="AQ13" s="4">
        <v>37.482999999999997</v>
      </c>
      <c r="AR13" s="4" t="str">
        <f>IF(ISNA(MATCH($BA13,planas!$BA:$BA,0)),"ne","taip")</f>
        <v>ne</v>
      </c>
      <c r="BA13" s="1" t="s">
        <v>629</v>
      </c>
      <c r="BB13" s="1">
        <f>MOD(SUMPRODUCT(--($T$1:$T12&lt;&gt;$T$2:$T13)),2)</f>
        <v>1</v>
      </c>
    </row>
    <row r="14" spans="1:55" ht="14.4" hidden="1" x14ac:dyDescent="0.3">
      <c r="A14" s="1" t="s">
        <v>294</v>
      </c>
      <c r="B14" s="124" t="s">
        <v>227</v>
      </c>
      <c r="C14" s="1" t="s">
        <v>56</v>
      </c>
      <c r="D14" s="1">
        <v>4</v>
      </c>
      <c r="E14" s="2">
        <v>2920.0149999999999</v>
      </c>
      <c r="F14" s="2">
        <v>5110</v>
      </c>
      <c r="G14" s="2">
        <v>200.00200000000001</v>
      </c>
      <c r="H14" s="2">
        <v>7269.44</v>
      </c>
      <c r="J14" s="1">
        <v>9870</v>
      </c>
      <c r="L14" s="3" t="s">
        <v>753</v>
      </c>
      <c r="M14" s="115">
        <v>45243</v>
      </c>
      <c r="V14" s="4">
        <v>14.92</v>
      </c>
      <c r="W14" s="4">
        <v>2.97</v>
      </c>
      <c r="AD14" s="4" t="s">
        <v>277</v>
      </c>
      <c r="AF14" s="1" t="s">
        <v>706</v>
      </c>
      <c r="AG14" s="1" t="s">
        <v>713</v>
      </c>
      <c r="AL14" s="1" t="s">
        <v>708</v>
      </c>
      <c r="AM14" s="99">
        <v>45244</v>
      </c>
      <c r="AQ14" s="4">
        <v>23.006</v>
      </c>
      <c r="AR14" s="4" t="str">
        <f>IF(ISNA(MATCH($BA14,planas!$BA:$BA,0)),"ne","taip")</f>
        <v>ne</v>
      </c>
      <c r="BA14" s="1" t="s">
        <v>389</v>
      </c>
      <c r="BB14" s="1">
        <f>MOD(SUMPRODUCT(--($T$1:$T13&lt;&gt;$T$2:$T14)),2)</f>
        <v>1</v>
      </c>
    </row>
    <row r="15" spans="1:55" ht="14.4" hidden="1" x14ac:dyDescent="0.3">
      <c r="A15" s="1" t="s">
        <v>294</v>
      </c>
      <c r="B15" s="124" t="s">
        <v>184</v>
      </c>
      <c r="C15" s="1" t="s">
        <v>56</v>
      </c>
      <c r="D15" s="1">
        <v>4</v>
      </c>
      <c r="E15" s="2">
        <v>3130</v>
      </c>
      <c r="F15" s="2">
        <v>2531</v>
      </c>
      <c r="G15" s="2">
        <v>200</v>
      </c>
      <c r="H15" s="2">
        <v>3846.23</v>
      </c>
      <c r="J15" s="1">
        <v>13440</v>
      </c>
      <c r="L15" s="3" t="s">
        <v>278</v>
      </c>
      <c r="M15" s="115">
        <v>45264</v>
      </c>
      <c r="V15" s="4">
        <v>7.92</v>
      </c>
      <c r="W15" s="4">
        <v>1.573</v>
      </c>
      <c r="AD15" s="4" t="s">
        <v>277</v>
      </c>
      <c r="AF15" s="1" t="s">
        <v>710</v>
      </c>
      <c r="AG15" s="1" t="s">
        <v>712</v>
      </c>
      <c r="AL15" s="1" t="s">
        <v>708</v>
      </c>
      <c r="AM15" s="99">
        <v>45265</v>
      </c>
      <c r="AQ15" s="4">
        <v>10.656000000000001</v>
      </c>
      <c r="AR15" s="4" t="str">
        <f>IF(ISNA(MATCH($BA15,planas!$BA:$BA,0)),"ne","taip")</f>
        <v>ne</v>
      </c>
      <c r="BA15" s="1" t="s">
        <v>398</v>
      </c>
      <c r="BB15" s="1">
        <f>MOD(SUMPRODUCT(--($T$1:$T14&lt;&gt;$T$2:$T15)),2)</f>
        <v>1</v>
      </c>
    </row>
    <row r="16" spans="1:55" ht="14.4" hidden="1" x14ac:dyDescent="0.3">
      <c r="A16" s="1" t="s">
        <v>294</v>
      </c>
      <c r="B16" s="124" t="s">
        <v>334</v>
      </c>
      <c r="C16" s="1" t="s">
        <v>57</v>
      </c>
      <c r="D16" s="1">
        <v>2</v>
      </c>
      <c r="E16" s="2">
        <v>3130.0210000000002</v>
      </c>
      <c r="F16" s="2">
        <v>6030.0010000000002</v>
      </c>
      <c r="G16" s="2">
        <v>595</v>
      </c>
      <c r="H16" s="2">
        <v>8031.53</v>
      </c>
      <c r="J16" s="1">
        <v>15400</v>
      </c>
      <c r="L16" s="3" t="s">
        <v>349</v>
      </c>
      <c r="M16" s="115">
        <v>45275</v>
      </c>
      <c r="V16" s="4">
        <v>18.87</v>
      </c>
      <c r="W16" s="4">
        <v>3.165</v>
      </c>
      <c r="AD16" s="4" t="s">
        <v>584</v>
      </c>
      <c r="AF16" s="1" t="s">
        <v>710</v>
      </c>
      <c r="AG16" s="1" t="s">
        <v>707</v>
      </c>
      <c r="AL16" s="1" t="s">
        <v>708</v>
      </c>
      <c r="AM16" s="99">
        <v>45278</v>
      </c>
      <c r="AP16" s="2">
        <v>2</v>
      </c>
      <c r="AQ16" s="4">
        <v>70.453999999999994</v>
      </c>
      <c r="AR16" s="4" t="str">
        <f>IF(ISNA(MATCH($BA16,planas!$BA:$BA,0)),"ne","taip")</f>
        <v>ne</v>
      </c>
      <c r="BA16" s="1" t="s">
        <v>652</v>
      </c>
      <c r="BB16" s="1">
        <f>MOD(SUMPRODUCT(--($T$1:$T15&lt;&gt;$T$2:$T16)),2)</f>
        <v>1</v>
      </c>
    </row>
    <row r="17" spans="1:54" ht="14.4" hidden="1" x14ac:dyDescent="0.3">
      <c r="A17" s="1" t="s">
        <v>294</v>
      </c>
      <c r="B17" s="124" t="s">
        <v>388</v>
      </c>
      <c r="C17" s="1" t="s">
        <v>56</v>
      </c>
      <c r="D17" s="1">
        <v>1</v>
      </c>
      <c r="E17" s="2">
        <v>1160</v>
      </c>
      <c r="F17" s="2">
        <v>3094.9639999999999</v>
      </c>
      <c r="G17" s="2">
        <v>140</v>
      </c>
      <c r="H17" s="2">
        <v>1228.56</v>
      </c>
      <c r="J17" s="1">
        <v>16160</v>
      </c>
      <c r="L17" s="3" t="s">
        <v>753</v>
      </c>
      <c r="M17" s="115">
        <v>45288</v>
      </c>
      <c r="V17" s="4">
        <v>3.59</v>
      </c>
      <c r="W17" s="4">
        <v>0.495</v>
      </c>
      <c r="AD17" s="4" t="s">
        <v>359</v>
      </c>
      <c r="AF17" s="1" t="s">
        <v>710</v>
      </c>
      <c r="AG17" s="1" t="s">
        <v>709</v>
      </c>
      <c r="AL17" s="1" t="s">
        <v>708</v>
      </c>
      <c r="AM17" s="99">
        <v>45287</v>
      </c>
      <c r="AQ17" s="4">
        <v>11.125999999999999</v>
      </c>
      <c r="AR17" s="4" t="str">
        <f>IF(ISNA(MATCH($BA17,planas!$BA:$BA,0)),"ne","taip")</f>
        <v>ne</v>
      </c>
      <c r="BA17" s="1" t="s">
        <v>678</v>
      </c>
      <c r="BB17" s="1">
        <f>MOD(SUMPRODUCT(--($T$1:$T16&lt;&gt;$T$2:$T17)),2)</f>
        <v>1</v>
      </c>
    </row>
    <row r="18" spans="1:54" ht="14.4" hidden="1" x14ac:dyDescent="0.3">
      <c r="A18" s="1" t="s">
        <v>294</v>
      </c>
      <c r="B18" s="124" t="s">
        <v>205</v>
      </c>
      <c r="C18" s="1" t="s">
        <v>56</v>
      </c>
      <c r="D18" s="1">
        <v>4</v>
      </c>
      <c r="E18" s="2">
        <v>3130.0070000000001</v>
      </c>
      <c r="F18" s="2">
        <v>2081.0010000000002</v>
      </c>
      <c r="G18" s="2">
        <v>200.00399999999999</v>
      </c>
      <c r="H18" s="2">
        <v>3124.13</v>
      </c>
      <c r="J18" s="1">
        <v>11010</v>
      </c>
      <c r="L18" s="3" t="s">
        <v>278</v>
      </c>
      <c r="M18" s="115">
        <v>45247</v>
      </c>
      <c r="V18" s="4">
        <v>6.51</v>
      </c>
      <c r="W18" s="4">
        <v>1.272</v>
      </c>
      <c r="AD18" s="4" t="s">
        <v>277</v>
      </c>
      <c r="AF18" s="1" t="s">
        <v>712</v>
      </c>
      <c r="AG18" s="1" t="s">
        <v>711</v>
      </c>
      <c r="AL18" s="1" t="s">
        <v>708</v>
      </c>
      <c r="AM18" s="99">
        <v>45250</v>
      </c>
      <c r="AQ18" s="4">
        <v>20.077999999999999</v>
      </c>
      <c r="AR18" s="4" t="str">
        <f>IF(ISNA(MATCH($BA18,planas!$BA:$BA,0)),"ne","taip")</f>
        <v>ne</v>
      </c>
      <c r="BA18" s="1" t="s">
        <v>427</v>
      </c>
      <c r="BB18" s="1">
        <f>MOD(SUMPRODUCT(--($T$1:$T17&lt;&gt;$T$2:$T18)),2)</f>
        <v>1</v>
      </c>
    </row>
    <row r="19" spans="1:54" ht="14.4" hidden="1" x14ac:dyDescent="0.3">
      <c r="A19" s="1" t="s">
        <v>294</v>
      </c>
      <c r="B19" s="124" t="s">
        <v>342</v>
      </c>
      <c r="C19" s="1" t="s">
        <v>57</v>
      </c>
      <c r="D19" s="1">
        <v>2</v>
      </c>
      <c r="E19" s="2">
        <v>3130.0070000000001</v>
      </c>
      <c r="F19" s="2">
        <v>5150.0349999999999</v>
      </c>
      <c r="G19" s="2">
        <v>595.00099999999998</v>
      </c>
      <c r="H19" s="2">
        <v>6964.7</v>
      </c>
      <c r="J19" s="1">
        <v>7130</v>
      </c>
      <c r="L19" s="3" t="s">
        <v>349</v>
      </c>
      <c r="M19" s="115">
        <v>45219</v>
      </c>
      <c r="V19" s="4">
        <v>16.12</v>
      </c>
      <c r="W19" s="4">
        <v>2.7309999999999999</v>
      </c>
      <c r="AD19" s="4" t="s">
        <v>584</v>
      </c>
      <c r="AF19" s="1" t="s">
        <v>711</v>
      </c>
      <c r="AG19" s="1" t="s">
        <v>707</v>
      </c>
      <c r="AL19" s="1" t="s">
        <v>708</v>
      </c>
      <c r="AM19" s="99">
        <v>45222</v>
      </c>
      <c r="AP19" s="2">
        <v>1</v>
      </c>
      <c r="AQ19" s="4">
        <v>68.638000000000005</v>
      </c>
      <c r="AR19" s="4" t="str">
        <f>IF(ISNA(MATCH($BA19,planas!$BA:$BA,0)),"ne","taip")</f>
        <v>ne</v>
      </c>
      <c r="BA19" s="1" t="s">
        <v>369</v>
      </c>
      <c r="BB19" s="1">
        <f>MOD(SUMPRODUCT(--($T$1:$T18&lt;&gt;$T$2:$T19)),2)</f>
        <v>1</v>
      </c>
    </row>
    <row r="20" spans="1:54" ht="14.4" hidden="1" x14ac:dyDescent="0.3">
      <c r="A20" s="1" t="s">
        <v>294</v>
      </c>
      <c r="B20" s="124" t="s">
        <v>183</v>
      </c>
      <c r="C20" s="1" t="s">
        <v>56</v>
      </c>
      <c r="D20" s="1">
        <v>4</v>
      </c>
      <c r="E20" s="2">
        <v>2920.0070000000001</v>
      </c>
      <c r="F20" s="2">
        <v>2460</v>
      </c>
      <c r="G20" s="2">
        <v>200.00299999999999</v>
      </c>
      <c r="H20" s="2">
        <v>3395.42</v>
      </c>
      <c r="J20" s="1">
        <v>12200</v>
      </c>
      <c r="L20" s="3" t="s">
        <v>753</v>
      </c>
      <c r="M20" s="115">
        <v>45257</v>
      </c>
      <c r="V20" s="4">
        <v>7.18</v>
      </c>
      <c r="W20" s="4">
        <v>1.3740000000000001</v>
      </c>
      <c r="AD20" s="4" t="s">
        <v>277</v>
      </c>
      <c r="AF20" s="1" t="s">
        <v>712</v>
      </c>
      <c r="AG20" s="1" t="s">
        <v>706</v>
      </c>
      <c r="AL20" s="1" t="s">
        <v>708</v>
      </c>
      <c r="AM20" s="99">
        <v>45258</v>
      </c>
      <c r="AQ20" s="4">
        <v>32.081000000000003</v>
      </c>
      <c r="AR20" s="4" t="str">
        <f>IF(ISNA(MATCH($BA20,planas!$BA:$BA,0)),"ne","taip")</f>
        <v>ne</v>
      </c>
      <c r="BA20" s="1" t="s">
        <v>417</v>
      </c>
      <c r="BB20" s="1">
        <f>MOD(SUMPRODUCT(--($T$1:$T19&lt;&gt;$T$2:$T20)),2)</f>
        <v>1</v>
      </c>
    </row>
    <row r="21" spans="1:54" ht="14.4" hidden="1" x14ac:dyDescent="0.3">
      <c r="A21" s="1" t="s">
        <v>294</v>
      </c>
      <c r="B21" s="124" t="s">
        <v>231</v>
      </c>
      <c r="C21" s="1" t="s">
        <v>56</v>
      </c>
      <c r="D21" s="1">
        <v>4</v>
      </c>
      <c r="E21" s="2">
        <v>2920.0070000000001</v>
      </c>
      <c r="F21" s="2">
        <v>5331</v>
      </c>
      <c r="G21" s="2">
        <v>200.00399999999999</v>
      </c>
      <c r="H21" s="2">
        <v>7584.72</v>
      </c>
      <c r="J21" s="1">
        <v>12110</v>
      </c>
      <c r="L21" s="3" t="s">
        <v>278</v>
      </c>
      <c r="M21" s="115">
        <v>45254</v>
      </c>
      <c r="V21" s="4">
        <v>15.57</v>
      </c>
      <c r="W21" s="4">
        <v>3.1040000000000001</v>
      </c>
      <c r="AD21" s="4" t="s">
        <v>277</v>
      </c>
      <c r="AF21" s="1" t="s">
        <v>712</v>
      </c>
      <c r="AG21" s="1" t="s">
        <v>706</v>
      </c>
      <c r="AL21" s="1" t="s">
        <v>708</v>
      </c>
      <c r="AM21" s="99">
        <v>45257</v>
      </c>
      <c r="AQ21" s="4">
        <v>19.393999999999998</v>
      </c>
      <c r="AR21" s="4" t="str">
        <f>IF(ISNA(MATCH($BA21,planas!$BA:$BA,0)),"ne","taip")</f>
        <v>ne</v>
      </c>
      <c r="BA21" s="1" t="s">
        <v>437</v>
      </c>
      <c r="BB21" s="1">
        <f>MOD(SUMPRODUCT(--($T$1:$T20&lt;&gt;$T$2:$T21)),2)</f>
        <v>1</v>
      </c>
    </row>
    <row r="22" spans="1:54" ht="14.4" hidden="1" x14ac:dyDescent="0.3">
      <c r="A22" s="1" t="s">
        <v>294</v>
      </c>
      <c r="B22" s="124" t="s">
        <v>351</v>
      </c>
      <c r="C22" s="1" t="s">
        <v>57</v>
      </c>
      <c r="D22" s="1">
        <v>2</v>
      </c>
      <c r="E22" s="2">
        <v>3280.0070000000001</v>
      </c>
      <c r="F22" s="2">
        <v>6210.0079999999998</v>
      </c>
      <c r="G22" s="2">
        <v>595.00199999999995</v>
      </c>
      <c r="H22" s="2">
        <v>7744.03</v>
      </c>
      <c r="J22" s="1">
        <v>9800</v>
      </c>
      <c r="L22" s="3" t="s">
        <v>349</v>
      </c>
      <c r="M22" s="115">
        <v>45243</v>
      </c>
      <c r="V22" s="4">
        <v>20.37</v>
      </c>
      <c r="W22" s="4">
        <v>3.0150000000000001</v>
      </c>
      <c r="AD22" s="4" t="s">
        <v>584</v>
      </c>
      <c r="AF22" s="1" t="s">
        <v>706</v>
      </c>
      <c r="AG22" s="1" t="s">
        <v>713</v>
      </c>
      <c r="AL22" s="1" t="s">
        <v>708</v>
      </c>
      <c r="AM22" s="99">
        <v>45244</v>
      </c>
      <c r="AP22" s="2">
        <v>2</v>
      </c>
      <c r="AQ22" s="4">
        <v>26.437999999999999</v>
      </c>
      <c r="AR22" s="4" t="str">
        <f>IF(ISNA(MATCH($BA22,planas!$BA:$BA,0)),"ne","taip")</f>
        <v>ne</v>
      </c>
      <c r="BA22" s="1" t="s">
        <v>570</v>
      </c>
      <c r="BB22" s="1">
        <f>MOD(SUMPRODUCT(--($T$1:$T21&lt;&gt;$T$2:$T22)),2)</f>
        <v>1</v>
      </c>
    </row>
    <row r="23" spans="1:54" ht="14.4" hidden="1" x14ac:dyDescent="0.3">
      <c r="A23" s="1" t="s">
        <v>294</v>
      </c>
      <c r="B23" s="124" t="s">
        <v>339</v>
      </c>
      <c r="C23" s="1" t="s">
        <v>57</v>
      </c>
      <c r="D23" s="1">
        <v>2</v>
      </c>
      <c r="E23" s="2">
        <v>3130.0140000000001</v>
      </c>
      <c r="F23" s="2">
        <v>7130.0010000000002</v>
      </c>
      <c r="G23" s="2">
        <v>595.00300000000004</v>
      </c>
      <c r="H23" s="2">
        <v>8677.7000000000007</v>
      </c>
      <c r="J23" s="1">
        <v>15370</v>
      </c>
      <c r="L23" s="3" t="s">
        <v>349</v>
      </c>
      <c r="M23" s="115">
        <v>45275</v>
      </c>
      <c r="V23" s="4">
        <v>22.32</v>
      </c>
      <c r="W23" s="4">
        <v>3.42</v>
      </c>
      <c r="AD23" s="4" t="s">
        <v>584</v>
      </c>
      <c r="AF23" s="1" t="s">
        <v>710</v>
      </c>
      <c r="AG23" s="1" t="s">
        <v>707</v>
      </c>
      <c r="AL23" s="1" t="s">
        <v>708</v>
      </c>
      <c r="AM23" s="99">
        <v>45278</v>
      </c>
      <c r="AP23" s="2">
        <v>2</v>
      </c>
      <c r="AQ23" s="4">
        <v>73.332999999999998</v>
      </c>
      <c r="AR23" s="4" t="str">
        <f>IF(ISNA(MATCH($BA23,planas!$BA:$BA,0)),"ne","taip")</f>
        <v>ne</v>
      </c>
      <c r="BA23" s="1" t="s">
        <v>654</v>
      </c>
      <c r="BB23" s="1">
        <f>MOD(SUMPRODUCT(--($T$1:$T22&lt;&gt;$T$2:$T23)),2)</f>
        <v>1</v>
      </c>
    </row>
    <row r="24" spans="1:54" ht="14.4" hidden="1" x14ac:dyDescent="0.3">
      <c r="A24" s="1" t="s">
        <v>294</v>
      </c>
      <c r="B24" s="124" t="s">
        <v>227</v>
      </c>
      <c r="C24" s="1" t="s">
        <v>56</v>
      </c>
      <c r="D24" s="1">
        <v>4</v>
      </c>
      <c r="E24" s="2">
        <v>2920.0149999999999</v>
      </c>
      <c r="F24" s="2">
        <v>5110</v>
      </c>
      <c r="G24" s="2">
        <v>200.00200000000001</v>
      </c>
      <c r="H24" s="2">
        <v>7269.44</v>
      </c>
      <c r="J24" s="1">
        <v>13260</v>
      </c>
      <c r="L24" s="3" t="s">
        <v>753</v>
      </c>
      <c r="M24" s="115">
        <v>45261</v>
      </c>
      <c r="V24" s="4">
        <v>14.92</v>
      </c>
      <c r="W24" s="4">
        <v>2.97</v>
      </c>
      <c r="AD24" s="4" t="s">
        <v>277</v>
      </c>
      <c r="AF24" s="1" t="s">
        <v>710</v>
      </c>
      <c r="AG24" s="1" t="s">
        <v>712</v>
      </c>
      <c r="AL24" s="1" t="s">
        <v>708</v>
      </c>
      <c r="AM24" s="99">
        <v>45264</v>
      </c>
      <c r="AQ24" s="4">
        <v>23.006</v>
      </c>
      <c r="AR24" s="4" t="str">
        <f>IF(ISNA(MATCH($BA24,planas!$BA:$BA,0)),"ne","taip")</f>
        <v>ne</v>
      </c>
      <c r="BA24" s="1" t="s">
        <v>484</v>
      </c>
      <c r="BB24" s="1">
        <f>MOD(SUMPRODUCT(--($T$1:$T23&lt;&gt;$T$2:$T24)),2)</f>
        <v>1</v>
      </c>
    </row>
    <row r="25" spans="1:54" ht="14.4" hidden="1" x14ac:dyDescent="0.3">
      <c r="A25" s="1" t="s">
        <v>294</v>
      </c>
      <c r="B25" s="124" t="s">
        <v>324</v>
      </c>
      <c r="C25" s="1" t="s">
        <v>57</v>
      </c>
      <c r="D25" s="1">
        <v>2</v>
      </c>
      <c r="E25" s="2">
        <v>3280.0070000000001</v>
      </c>
      <c r="F25" s="2">
        <v>8090.0020000000004</v>
      </c>
      <c r="G25" s="2">
        <v>595</v>
      </c>
      <c r="H25" s="2">
        <v>8654.86</v>
      </c>
      <c r="J25" s="1">
        <v>13070</v>
      </c>
      <c r="L25" s="3" t="s">
        <v>349</v>
      </c>
      <c r="M25" s="115">
        <v>45261</v>
      </c>
      <c r="V25" s="4">
        <v>26.54</v>
      </c>
      <c r="W25" s="4">
        <v>3.38</v>
      </c>
      <c r="AD25" s="4" t="s">
        <v>584</v>
      </c>
      <c r="AF25" s="1" t="s">
        <v>710</v>
      </c>
      <c r="AG25" s="1" t="s">
        <v>712</v>
      </c>
      <c r="AL25" s="1" t="s">
        <v>280</v>
      </c>
      <c r="AM25" s="99">
        <v>45264</v>
      </c>
      <c r="AP25" s="2">
        <v>5</v>
      </c>
      <c r="AQ25" s="4">
        <v>49.936999999999998</v>
      </c>
      <c r="AR25" s="4" t="str">
        <f>IF(ISNA(MATCH($BA25,planas!$BA:$BA,0)),"ne","taip")</f>
        <v>ne</v>
      </c>
      <c r="BA25" s="1" t="s">
        <v>556</v>
      </c>
      <c r="BB25" s="1">
        <f>MOD(SUMPRODUCT(--($T$1:$T24&lt;&gt;$T$2:$T25)),2)</f>
        <v>1</v>
      </c>
    </row>
    <row r="26" spans="1:54" ht="14.4" hidden="1" x14ac:dyDescent="0.3">
      <c r="A26" s="1" t="s">
        <v>294</v>
      </c>
      <c r="B26" s="124" t="s">
        <v>204</v>
      </c>
      <c r="C26" s="1" t="s">
        <v>56</v>
      </c>
      <c r="D26" s="1">
        <v>4</v>
      </c>
      <c r="E26" s="2">
        <v>3130.0010000000002</v>
      </c>
      <c r="F26" s="2">
        <v>2302</v>
      </c>
      <c r="G26" s="2">
        <v>200.00200000000001</v>
      </c>
      <c r="H26" s="2">
        <v>3472.23</v>
      </c>
      <c r="J26" s="1">
        <v>11060</v>
      </c>
      <c r="L26" s="3" t="s">
        <v>278</v>
      </c>
      <c r="M26" s="115">
        <v>45250</v>
      </c>
      <c r="V26" s="4">
        <v>7.21</v>
      </c>
      <c r="W26" s="4">
        <v>1.417</v>
      </c>
      <c r="AD26" s="4" t="s">
        <v>277</v>
      </c>
      <c r="AF26" s="1" t="s">
        <v>712</v>
      </c>
      <c r="AG26" s="1" t="s">
        <v>711</v>
      </c>
      <c r="AL26" s="1" t="s">
        <v>708</v>
      </c>
      <c r="AM26" s="99">
        <v>45251</v>
      </c>
      <c r="AQ26" s="4">
        <v>13.683999999999999</v>
      </c>
      <c r="AR26" s="4" t="str">
        <f>IF(ISNA(MATCH($BA26,planas!$BA:$BA,0)),"ne","taip")</f>
        <v>ne</v>
      </c>
      <c r="BA26" s="1" t="s">
        <v>420</v>
      </c>
      <c r="BB26" s="1">
        <f>MOD(SUMPRODUCT(--($T$1:$T25&lt;&gt;$T$2:$T26)),2)</f>
        <v>1</v>
      </c>
    </row>
    <row r="27" spans="1:54" ht="14.4" hidden="1" x14ac:dyDescent="0.3">
      <c r="A27" s="1" t="s">
        <v>294</v>
      </c>
      <c r="B27" s="124" t="s">
        <v>265</v>
      </c>
      <c r="C27" s="1" t="s">
        <v>56</v>
      </c>
      <c r="D27" s="1">
        <v>1</v>
      </c>
      <c r="E27" s="2">
        <v>3630.0070000000001</v>
      </c>
      <c r="F27" s="2">
        <v>6180</v>
      </c>
      <c r="G27" s="2">
        <v>200.03700000000001</v>
      </c>
      <c r="H27" s="2">
        <v>9463.42</v>
      </c>
      <c r="J27" s="1">
        <v>14450</v>
      </c>
      <c r="L27" s="3" t="s">
        <v>754</v>
      </c>
      <c r="M27" s="115">
        <v>45271</v>
      </c>
      <c r="V27" s="4">
        <v>22.43</v>
      </c>
      <c r="W27" s="4">
        <v>3.8530000000000002</v>
      </c>
      <c r="AD27" s="4" t="s">
        <v>277</v>
      </c>
      <c r="AF27" s="1" t="s">
        <v>710</v>
      </c>
      <c r="AG27" s="1" t="s">
        <v>710</v>
      </c>
      <c r="AL27" s="1" t="s">
        <v>708</v>
      </c>
      <c r="AM27" s="99">
        <v>45272</v>
      </c>
      <c r="AQ27" s="4">
        <v>53.469000000000001</v>
      </c>
      <c r="AR27" s="4" t="str">
        <f>IF(ISNA(MATCH($BA27,planas!$BA:$BA,0)),"ne","taip")</f>
        <v>ne</v>
      </c>
      <c r="BA27" s="1" t="s">
        <v>638</v>
      </c>
      <c r="BB27" s="1">
        <f>MOD(SUMPRODUCT(--($T$1:$T26&lt;&gt;$T$2:$T27)),2)</f>
        <v>1</v>
      </c>
    </row>
    <row r="28" spans="1:54" ht="14.4" hidden="1" x14ac:dyDescent="0.3">
      <c r="A28" s="1" t="s">
        <v>294</v>
      </c>
      <c r="B28" s="124" t="s">
        <v>216</v>
      </c>
      <c r="C28" s="1" t="s">
        <v>56</v>
      </c>
      <c r="D28" s="1">
        <v>4</v>
      </c>
      <c r="E28" s="2">
        <v>3130.0010000000002</v>
      </c>
      <c r="F28" s="2">
        <v>3341</v>
      </c>
      <c r="G28" s="2">
        <v>200.001</v>
      </c>
      <c r="H28" s="2">
        <v>1910.73</v>
      </c>
      <c r="J28" s="1">
        <v>11180</v>
      </c>
      <c r="L28" s="3" t="s">
        <v>278</v>
      </c>
      <c r="M28" s="115">
        <v>45250</v>
      </c>
      <c r="V28" s="4">
        <v>10.46</v>
      </c>
      <c r="W28" s="4">
        <v>0.76200000000000001</v>
      </c>
      <c r="AD28" s="4" t="s">
        <v>277</v>
      </c>
      <c r="AF28" s="1" t="s">
        <v>712</v>
      </c>
      <c r="AG28" s="1" t="s">
        <v>711</v>
      </c>
      <c r="AL28" s="1" t="s">
        <v>708</v>
      </c>
      <c r="AM28" s="99">
        <v>45251</v>
      </c>
      <c r="AP28" s="2">
        <v>3</v>
      </c>
      <c r="AQ28" s="4">
        <v>13.866</v>
      </c>
      <c r="AR28" s="4" t="str">
        <f>IF(ISNA(MATCH($BA28,planas!$BA:$BA,0)),"ne","taip")</f>
        <v>ne</v>
      </c>
      <c r="BA28" s="1" t="s">
        <v>460</v>
      </c>
      <c r="BB28" s="1">
        <f>MOD(SUMPRODUCT(--($T$1:$T27&lt;&gt;$T$2:$T28)),2)</f>
        <v>1</v>
      </c>
    </row>
    <row r="29" spans="1:54" ht="14.4" hidden="1" x14ac:dyDescent="0.3">
      <c r="A29" s="1" t="s">
        <v>294</v>
      </c>
      <c r="B29" s="124" t="s">
        <v>319</v>
      </c>
      <c r="C29" s="1" t="s">
        <v>57</v>
      </c>
      <c r="D29" s="1">
        <v>4</v>
      </c>
      <c r="E29" s="2">
        <v>3280.0210000000002</v>
      </c>
      <c r="F29" s="2">
        <v>5340.027</v>
      </c>
      <c r="G29" s="2">
        <v>595.01199999999994</v>
      </c>
      <c r="H29" s="2">
        <v>6757.62</v>
      </c>
      <c r="J29" s="1">
        <v>9780</v>
      </c>
      <c r="L29" s="3" t="s">
        <v>349</v>
      </c>
      <c r="M29" s="115">
        <v>45243</v>
      </c>
      <c r="V29" s="4">
        <v>17.52</v>
      </c>
      <c r="W29" s="4">
        <v>2.6760000000000002</v>
      </c>
      <c r="AD29" s="4" t="s">
        <v>584</v>
      </c>
      <c r="AF29" s="1" t="s">
        <v>706</v>
      </c>
      <c r="AG29" s="1" t="s">
        <v>713</v>
      </c>
      <c r="AL29" s="1" t="s">
        <v>708</v>
      </c>
      <c r="AM29" s="99">
        <v>45244</v>
      </c>
      <c r="AP29" s="2">
        <v>1</v>
      </c>
      <c r="AQ29" s="4">
        <v>17.542000000000002</v>
      </c>
      <c r="AR29" s="4" t="str">
        <f>IF(ISNA(MATCH($BA29,planas!$BA:$BA,0)),"ne","taip")</f>
        <v>ne</v>
      </c>
      <c r="BA29" s="1" t="s">
        <v>597</v>
      </c>
      <c r="BB29" s="1">
        <f>MOD(SUMPRODUCT(--($T$1:$T28&lt;&gt;$T$2:$T29)),2)</f>
        <v>1</v>
      </c>
    </row>
    <row r="30" spans="1:54" ht="14.4" x14ac:dyDescent="0.3">
      <c r="A30" s="1" t="s">
        <v>294</v>
      </c>
      <c r="B30" s="124" t="s">
        <v>193</v>
      </c>
      <c r="C30" s="1" t="s">
        <v>56</v>
      </c>
      <c r="D30" s="1">
        <v>2</v>
      </c>
      <c r="E30" s="2">
        <v>3630</v>
      </c>
      <c r="F30" s="2">
        <v>2531</v>
      </c>
      <c r="G30" s="2">
        <v>200.001</v>
      </c>
      <c r="H30" s="2">
        <v>4460.0600000000004</v>
      </c>
      <c r="J30" s="1">
        <v>6340</v>
      </c>
      <c r="K30" s="3">
        <v>45159</v>
      </c>
      <c r="L30" s="3" t="s">
        <v>278</v>
      </c>
      <c r="M30" s="115">
        <v>45215</v>
      </c>
      <c r="T30" s="1">
        <v>1</v>
      </c>
      <c r="U30" s="113">
        <v>0.48561038961038955</v>
      </c>
      <c r="V30" s="4">
        <v>9.19</v>
      </c>
      <c r="W30" s="4">
        <v>1.8240000000000001</v>
      </c>
      <c r="AC30" s="1">
        <v>2</v>
      </c>
      <c r="AD30" s="4" t="s">
        <v>277</v>
      </c>
      <c r="AF30" s="1" t="s">
        <v>711</v>
      </c>
      <c r="AG30" s="1" t="s">
        <v>710</v>
      </c>
      <c r="AL30" s="1" t="s">
        <v>708</v>
      </c>
      <c r="AM30" s="99">
        <v>45216</v>
      </c>
      <c r="AQ30" s="4">
        <v>10.656000000000001</v>
      </c>
      <c r="AR30" s="4" t="str">
        <f>IF(ISNA(MATCH($BA30,planas!$BA:$BA,0)),"ne","taip")</f>
        <v>taip</v>
      </c>
      <c r="BA30" s="1" t="s">
        <v>770</v>
      </c>
      <c r="BB30" s="1">
        <f>MOD(SUMPRODUCT(--($T$1:$T29&lt;&gt;$T$2:$T30)),2)</f>
        <v>0</v>
      </c>
    </row>
    <row r="31" spans="1:54" ht="14.4" x14ac:dyDescent="0.3">
      <c r="A31" s="1" t="s">
        <v>294</v>
      </c>
      <c r="B31" s="124" t="s">
        <v>491</v>
      </c>
      <c r="C31" s="1" t="s">
        <v>57</v>
      </c>
      <c r="D31" s="1">
        <v>1</v>
      </c>
      <c r="E31" s="2">
        <v>3280.0070000000001</v>
      </c>
      <c r="F31" s="2">
        <v>2239.9989999999998</v>
      </c>
      <c r="G31" s="2">
        <v>545.00699999999995</v>
      </c>
      <c r="H31" s="2">
        <v>3434.71</v>
      </c>
      <c r="J31" s="1">
        <v>13140</v>
      </c>
      <c r="K31" s="3">
        <v>45149</v>
      </c>
      <c r="L31" s="3" t="s">
        <v>753</v>
      </c>
      <c r="M31" s="115">
        <v>45261</v>
      </c>
      <c r="T31" s="1">
        <v>2</v>
      </c>
      <c r="U31" s="113">
        <v>0.27033766233766232</v>
      </c>
      <c r="V31" s="4">
        <v>7.35</v>
      </c>
      <c r="W31" s="4">
        <v>1.361</v>
      </c>
      <c r="AC31" s="1">
        <v>2</v>
      </c>
      <c r="AD31" s="4" t="s">
        <v>584</v>
      </c>
      <c r="AF31" s="1" t="s">
        <v>710</v>
      </c>
      <c r="AG31" s="1" t="s">
        <v>712</v>
      </c>
      <c r="AL31" s="1" t="s">
        <v>708</v>
      </c>
      <c r="AM31" s="99">
        <v>45264</v>
      </c>
      <c r="AQ31" s="4">
        <v>19.943999999999999</v>
      </c>
      <c r="AR31" s="4" t="str">
        <f>IF(ISNA(MATCH($BA31,planas!$BA:$BA,0)),"ne","taip")</f>
        <v>taip</v>
      </c>
      <c r="BA31" s="1" t="s">
        <v>580</v>
      </c>
      <c r="BB31" s="1">
        <f>MOD(SUMPRODUCT(--($T$1:$T30&lt;&gt;$T$2:$T31)),2)</f>
        <v>1</v>
      </c>
    </row>
    <row r="32" spans="1:54" ht="14.4" hidden="1" x14ac:dyDescent="0.3">
      <c r="A32" s="1" t="s">
        <v>294</v>
      </c>
      <c r="B32" s="124" t="s">
        <v>196</v>
      </c>
      <c r="C32" s="1" t="s">
        <v>56</v>
      </c>
      <c r="D32" s="1">
        <v>4</v>
      </c>
      <c r="E32" s="2">
        <v>2920.0070000000001</v>
      </c>
      <c r="F32" s="2">
        <v>3430</v>
      </c>
      <c r="G32" s="2">
        <v>200.006</v>
      </c>
      <c r="H32" s="2">
        <v>4869.1400000000003</v>
      </c>
      <c r="J32" s="1">
        <v>9980</v>
      </c>
      <c r="L32" s="3" t="s">
        <v>753</v>
      </c>
      <c r="M32" s="115">
        <v>45244</v>
      </c>
      <c r="V32" s="4">
        <v>10.02</v>
      </c>
      <c r="W32" s="4">
        <v>1.988</v>
      </c>
      <c r="AD32" s="4" t="s">
        <v>277</v>
      </c>
      <c r="AF32" s="1" t="s">
        <v>706</v>
      </c>
      <c r="AG32" s="1" t="s">
        <v>713</v>
      </c>
      <c r="AL32" s="1" t="s">
        <v>708</v>
      </c>
      <c r="AM32" s="99">
        <v>45245</v>
      </c>
      <c r="AQ32" s="4">
        <v>15.66</v>
      </c>
      <c r="AR32" s="4" t="str">
        <f>IF(ISNA(MATCH($BA32,planas!$BA:$BA,0)),"ne","taip")</f>
        <v>ne</v>
      </c>
      <c r="BA32" s="1" t="s">
        <v>470</v>
      </c>
      <c r="BB32" s="1">
        <f>MOD(SUMPRODUCT(--($T$1:$T31&lt;&gt;$T$2:$T32)),2)</f>
        <v>0</v>
      </c>
    </row>
    <row r="33" spans="1:54" ht="14.4" x14ac:dyDescent="0.3">
      <c r="A33" s="1" t="s">
        <v>294</v>
      </c>
      <c r="B33" s="124" t="s">
        <v>232</v>
      </c>
      <c r="C33" s="1" t="s">
        <v>56</v>
      </c>
      <c r="D33" s="1">
        <v>2</v>
      </c>
      <c r="E33" s="2">
        <v>3630</v>
      </c>
      <c r="F33" s="2">
        <v>1560</v>
      </c>
      <c r="G33" s="2">
        <v>200</v>
      </c>
      <c r="H33" s="2">
        <v>2774.57</v>
      </c>
      <c r="J33" s="1">
        <v>6370</v>
      </c>
      <c r="K33" s="3">
        <v>45159</v>
      </c>
      <c r="L33" s="3" t="s">
        <v>753</v>
      </c>
      <c r="M33" s="115">
        <v>45215</v>
      </c>
      <c r="T33" s="1">
        <v>2</v>
      </c>
      <c r="U33" s="113">
        <v>0.27033766233766232</v>
      </c>
      <c r="V33" s="4">
        <v>5.66</v>
      </c>
      <c r="W33" s="4">
        <v>1.1240000000000001</v>
      </c>
      <c r="AC33" s="1">
        <v>2</v>
      </c>
      <c r="AD33" s="4" t="s">
        <v>277</v>
      </c>
      <c r="AF33" s="1" t="s">
        <v>711</v>
      </c>
      <c r="AG33" s="1" t="s">
        <v>710</v>
      </c>
      <c r="AL33" s="1" t="s">
        <v>765</v>
      </c>
      <c r="AM33" s="99">
        <v>45216</v>
      </c>
      <c r="AQ33" s="4">
        <v>23.03</v>
      </c>
      <c r="AR33" s="4" t="str">
        <f>IF(ISNA(MATCH($BA33,planas!$BA:$BA,0)),"ne","taip")</f>
        <v>taip</v>
      </c>
      <c r="BA33" s="1" t="s">
        <v>766</v>
      </c>
      <c r="BB33" s="1">
        <f>MOD(SUMPRODUCT(--($T$1:$T32&lt;&gt;$T$2:$T33)),2)</f>
        <v>1</v>
      </c>
    </row>
    <row r="34" spans="1:54" ht="14.4" hidden="1" x14ac:dyDescent="0.3">
      <c r="A34" s="1" t="s">
        <v>294</v>
      </c>
      <c r="B34" s="124" t="s">
        <v>269</v>
      </c>
      <c r="C34" s="1" t="s">
        <v>56</v>
      </c>
      <c r="D34" s="1">
        <v>4</v>
      </c>
      <c r="E34" s="2">
        <v>2920</v>
      </c>
      <c r="F34" s="2">
        <v>2531</v>
      </c>
      <c r="G34" s="2">
        <v>200.001</v>
      </c>
      <c r="H34" s="2">
        <v>3588.59</v>
      </c>
      <c r="J34" s="1">
        <v>13430</v>
      </c>
      <c r="L34" s="3" t="s">
        <v>278</v>
      </c>
      <c r="M34" s="115">
        <v>45264</v>
      </c>
      <c r="V34" s="4">
        <v>7.39</v>
      </c>
      <c r="W34" s="4">
        <v>1.4670000000000001</v>
      </c>
      <c r="AD34" s="4" t="s">
        <v>277</v>
      </c>
      <c r="AF34" s="1" t="s">
        <v>710</v>
      </c>
      <c r="AG34" s="1" t="s">
        <v>712</v>
      </c>
      <c r="AL34" s="1" t="s">
        <v>708</v>
      </c>
      <c r="AM34" s="99">
        <v>45265</v>
      </c>
      <c r="AQ34" s="4">
        <v>10.656000000000001</v>
      </c>
      <c r="AR34" s="4" t="str">
        <f>IF(ISNA(MATCH($BA34,planas!$BA:$BA,0)),"ne","taip")</f>
        <v>ne</v>
      </c>
      <c r="BA34" s="1" t="s">
        <v>439</v>
      </c>
      <c r="BB34" s="1">
        <f>MOD(SUMPRODUCT(--($T$1:$T33&lt;&gt;$T$2:$T34)),2)</f>
        <v>0</v>
      </c>
    </row>
    <row r="35" spans="1:54" ht="14.4" hidden="1" x14ac:dyDescent="0.3">
      <c r="A35" s="1" t="s">
        <v>294</v>
      </c>
      <c r="B35" s="124" t="s">
        <v>355</v>
      </c>
      <c r="C35" s="1" t="s">
        <v>57</v>
      </c>
      <c r="D35" s="1">
        <v>2</v>
      </c>
      <c r="E35" s="2">
        <v>3280.0070000000001</v>
      </c>
      <c r="F35" s="2">
        <v>2239.9989999999998</v>
      </c>
      <c r="G35" s="2">
        <v>545.00699999999995</v>
      </c>
      <c r="H35" s="2">
        <v>3435.98</v>
      </c>
      <c r="J35" s="1">
        <v>9760</v>
      </c>
      <c r="L35" s="3" t="s">
        <v>753</v>
      </c>
      <c r="M35" s="115">
        <v>45243</v>
      </c>
      <c r="V35" s="4">
        <v>7.35</v>
      </c>
      <c r="W35" s="4">
        <v>1.361</v>
      </c>
      <c r="AD35" s="4" t="s">
        <v>584</v>
      </c>
      <c r="AF35" s="1" t="s">
        <v>706</v>
      </c>
      <c r="AG35" s="1" t="s">
        <v>713</v>
      </c>
      <c r="AL35" s="1" t="s">
        <v>708</v>
      </c>
      <c r="AM35" s="99">
        <v>45244</v>
      </c>
      <c r="AQ35" s="4">
        <v>21.288</v>
      </c>
      <c r="AR35" s="4" t="str">
        <f>IF(ISNA(MATCH($BA35,planas!$BA:$BA,0)),"ne","taip")</f>
        <v>ne</v>
      </c>
      <c r="BA35" s="1" t="s">
        <v>553</v>
      </c>
      <c r="BB35" s="1">
        <f>MOD(SUMPRODUCT(--($T$1:$T34&lt;&gt;$T$2:$T35)),2)</f>
        <v>0</v>
      </c>
    </row>
    <row r="36" spans="1:54" ht="14.4" hidden="1" x14ac:dyDescent="0.3">
      <c r="A36" s="1" t="s">
        <v>294</v>
      </c>
      <c r="B36" s="124" t="s">
        <v>336</v>
      </c>
      <c r="C36" s="1" t="s">
        <v>57</v>
      </c>
      <c r="D36" s="1">
        <v>2</v>
      </c>
      <c r="E36" s="2">
        <v>3130.0120000000002</v>
      </c>
      <c r="F36" s="2">
        <v>4679.9210000000003</v>
      </c>
      <c r="G36" s="2">
        <v>595.01099999999997</v>
      </c>
      <c r="H36" s="2">
        <v>5630.66</v>
      </c>
      <c r="J36" s="1">
        <v>15320</v>
      </c>
      <c r="L36" s="3" t="s">
        <v>349</v>
      </c>
      <c r="M36" s="115">
        <v>45275</v>
      </c>
      <c r="V36" s="4">
        <v>14.65</v>
      </c>
      <c r="W36" s="4">
        <v>2.222</v>
      </c>
      <c r="AD36" s="4" t="s">
        <v>584</v>
      </c>
      <c r="AF36" s="1" t="s">
        <v>710</v>
      </c>
      <c r="AG36" s="1" t="s">
        <v>707</v>
      </c>
      <c r="AL36" s="1" t="s">
        <v>708</v>
      </c>
      <c r="AM36" s="99">
        <v>45278</v>
      </c>
      <c r="AP36" s="2">
        <v>1</v>
      </c>
      <c r="AQ36" s="4">
        <v>30.79</v>
      </c>
      <c r="AR36" s="4" t="str">
        <f>IF(ISNA(MATCH($BA36,planas!$BA:$BA,0)),"ne","taip")</f>
        <v>ne</v>
      </c>
      <c r="BA36" s="1" t="s">
        <v>653</v>
      </c>
      <c r="BB36" s="1">
        <f>MOD(SUMPRODUCT(--($T$1:$T35&lt;&gt;$T$2:$T36)),2)</f>
        <v>0</v>
      </c>
    </row>
    <row r="37" spans="1:54" ht="14.4" hidden="1" x14ac:dyDescent="0.3">
      <c r="A37" s="1" t="s">
        <v>294</v>
      </c>
      <c r="B37" s="124" t="s">
        <v>268</v>
      </c>
      <c r="C37" s="1" t="s">
        <v>56</v>
      </c>
      <c r="D37" s="1">
        <v>1</v>
      </c>
      <c r="E37" s="2">
        <v>3120</v>
      </c>
      <c r="F37" s="2">
        <v>2302</v>
      </c>
      <c r="G37" s="2">
        <v>200.00200000000001</v>
      </c>
      <c r="H37" s="2">
        <v>3473.43</v>
      </c>
      <c r="J37" s="1">
        <v>8770</v>
      </c>
      <c r="L37" s="3" t="s">
        <v>278</v>
      </c>
      <c r="M37" s="115">
        <v>45236</v>
      </c>
      <c r="V37" s="4">
        <v>7.18</v>
      </c>
      <c r="W37" s="4">
        <v>1.413</v>
      </c>
      <c r="AD37" s="4" t="s">
        <v>277</v>
      </c>
      <c r="AF37" s="1" t="s">
        <v>706</v>
      </c>
      <c r="AG37" s="1" t="s">
        <v>755</v>
      </c>
      <c r="AL37" s="1" t="s">
        <v>708</v>
      </c>
      <c r="AM37" s="99">
        <v>45237</v>
      </c>
      <c r="AQ37" s="4">
        <v>24.96</v>
      </c>
      <c r="AR37" s="4" t="str">
        <f>IF(ISNA(MATCH($BA37,planas!$BA:$BA,0)),"ne","taip")</f>
        <v>ne</v>
      </c>
      <c r="BA37" s="1" t="s">
        <v>528</v>
      </c>
      <c r="BB37" s="1">
        <f>MOD(SUMPRODUCT(--($T$1:$T36&lt;&gt;$T$2:$T37)),2)</f>
        <v>0</v>
      </c>
    </row>
    <row r="38" spans="1:54" ht="14.4" x14ac:dyDescent="0.3">
      <c r="A38" s="1" t="s">
        <v>294</v>
      </c>
      <c r="B38" s="124" t="s">
        <v>376</v>
      </c>
      <c r="C38" s="1" t="s">
        <v>57</v>
      </c>
      <c r="D38" s="1">
        <v>1</v>
      </c>
      <c r="E38" s="2">
        <v>3280.01</v>
      </c>
      <c r="F38" s="2">
        <v>5150.04</v>
      </c>
      <c r="G38" s="2">
        <v>595.00099999999998</v>
      </c>
      <c r="H38" s="2">
        <v>6888.98</v>
      </c>
      <c r="J38" s="1">
        <v>13100</v>
      </c>
      <c r="K38" s="3">
        <v>45149</v>
      </c>
      <c r="L38" s="3" t="s">
        <v>349</v>
      </c>
      <c r="M38" s="115">
        <v>45261</v>
      </c>
      <c r="T38" s="1">
        <v>3</v>
      </c>
      <c r="U38" s="113">
        <v>0.53838961038961042</v>
      </c>
      <c r="V38" s="4">
        <v>16.89</v>
      </c>
      <c r="W38" s="4">
        <v>2.6720000000000002</v>
      </c>
      <c r="AC38" s="1">
        <v>2</v>
      </c>
      <c r="AD38" s="4" t="s">
        <v>584</v>
      </c>
      <c r="AF38" s="1" t="s">
        <v>710</v>
      </c>
      <c r="AG38" s="1" t="s">
        <v>712</v>
      </c>
      <c r="AL38" s="1" t="s">
        <v>708</v>
      </c>
      <c r="AM38" s="99">
        <v>45264</v>
      </c>
      <c r="AP38" s="2">
        <v>2</v>
      </c>
      <c r="AQ38" s="4">
        <v>30.738</v>
      </c>
      <c r="AR38" s="4" t="str">
        <f>IF(ISNA(MATCH($BA38,planas!$BA:$BA,0)),"ne","taip")</f>
        <v>taip</v>
      </c>
      <c r="BA38" s="1" t="s">
        <v>578</v>
      </c>
      <c r="BB38" s="1">
        <f>MOD(SUMPRODUCT(--($T$1:$T37&lt;&gt;$T$2:$T38)),2)</f>
        <v>1</v>
      </c>
    </row>
    <row r="39" spans="1:54" ht="14.4" hidden="1" x14ac:dyDescent="0.3">
      <c r="A39" s="1" t="s">
        <v>294</v>
      </c>
      <c r="B39" s="124" t="s">
        <v>195</v>
      </c>
      <c r="C39" s="1" t="s">
        <v>56</v>
      </c>
      <c r="D39" s="1">
        <v>1</v>
      </c>
      <c r="E39" s="2">
        <v>2920.0149999999999</v>
      </c>
      <c r="F39" s="2">
        <v>2380.0010000000002</v>
      </c>
      <c r="G39" s="2">
        <v>200.03899999999999</v>
      </c>
      <c r="H39" s="2">
        <v>2301.39</v>
      </c>
      <c r="J39" s="1">
        <v>9950</v>
      </c>
      <c r="L39" s="3" t="s">
        <v>753</v>
      </c>
      <c r="M39" s="115">
        <v>45244</v>
      </c>
      <c r="V39" s="4">
        <v>6.95</v>
      </c>
      <c r="W39" s="4">
        <v>0.91600000000000004</v>
      </c>
      <c r="AD39" s="4" t="s">
        <v>277</v>
      </c>
      <c r="AF39" s="1" t="s">
        <v>706</v>
      </c>
      <c r="AG39" s="1" t="s">
        <v>713</v>
      </c>
      <c r="AL39" s="1" t="s">
        <v>708</v>
      </c>
      <c r="AM39" s="99">
        <v>45245</v>
      </c>
      <c r="AP39" s="2">
        <v>2</v>
      </c>
      <c r="AQ39" s="4">
        <v>14.186999999999999</v>
      </c>
      <c r="AR39" s="4" t="str">
        <f>IF(ISNA(MATCH($BA39,planas!$BA:$BA,0)),"ne","taip")</f>
        <v>ne</v>
      </c>
      <c r="BA39" s="1" t="s">
        <v>457</v>
      </c>
      <c r="BB39" s="1">
        <f>MOD(SUMPRODUCT(--($T$1:$T38&lt;&gt;$T$2:$T39)),2)</f>
        <v>0</v>
      </c>
    </row>
    <row r="40" spans="1:54" ht="14.4" x14ac:dyDescent="0.3">
      <c r="A40" s="1" t="s">
        <v>294</v>
      </c>
      <c r="B40" s="124" t="s">
        <v>371</v>
      </c>
      <c r="C40" s="1" t="s">
        <v>56</v>
      </c>
      <c r="D40" s="1">
        <v>2</v>
      </c>
      <c r="E40" s="2">
        <v>1160</v>
      </c>
      <c r="F40" s="2">
        <v>7775.9880000000003</v>
      </c>
      <c r="G40" s="2">
        <v>140</v>
      </c>
      <c r="H40" s="2">
        <v>3112.07</v>
      </c>
      <c r="J40" s="1">
        <v>7890</v>
      </c>
      <c r="K40" s="3">
        <v>45167</v>
      </c>
      <c r="L40" s="3" t="s">
        <v>278</v>
      </c>
      <c r="M40" s="115">
        <v>45226</v>
      </c>
      <c r="T40" s="1">
        <v>3</v>
      </c>
      <c r="U40" s="113">
        <v>0.53838961038961042</v>
      </c>
      <c r="V40" s="4">
        <v>9.02</v>
      </c>
      <c r="W40" s="4">
        <v>1.2569999999999999</v>
      </c>
      <c r="AC40" s="1">
        <v>2</v>
      </c>
      <c r="AD40" s="4" t="s">
        <v>359</v>
      </c>
      <c r="AF40" s="1" t="s">
        <v>711</v>
      </c>
      <c r="AG40" s="1" t="s">
        <v>709</v>
      </c>
      <c r="AL40" s="1" t="s">
        <v>708</v>
      </c>
      <c r="AM40" s="99">
        <v>45229</v>
      </c>
      <c r="AQ40" s="4">
        <v>29.251999999999999</v>
      </c>
      <c r="AR40" s="4" t="str">
        <f>IF(ISNA(MATCH($BA40,planas!$BA:$BA,0)),"ne","taip")</f>
        <v>taip</v>
      </c>
      <c r="BA40" s="1" t="s">
        <v>370</v>
      </c>
      <c r="BB40" s="1">
        <f>MOD(SUMPRODUCT(--($T$1:$T39&lt;&gt;$T$2:$T40)),2)</f>
        <v>1</v>
      </c>
    </row>
    <row r="41" spans="1:54" ht="14.4" hidden="1" x14ac:dyDescent="0.3">
      <c r="A41" s="1" t="s">
        <v>294</v>
      </c>
      <c r="B41" s="124" t="s">
        <v>338</v>
      </c>
      <c r="C41" s="1" t="s">
        <v>57</v>
      </c>
      <c r="D41" s="1">
        <v>2</v>
      </c>
      <c r="E41" s="2">
        <v>3130.0039999999999</v>
      </c>
      <c r="F41" s="2">
        <v>3405.0079999999998</v>
      </c>
      <c r="G41" s="2">
        <v>545.01300000000003</v>
      </c>
      <c r="H41" s="2">
        <v>6374.18</v>
      </c>
      <c r="J41" s="1">
        <v>15380</v>
      </c>
      <c r="L41" s="3" t="s">
        <v>348</v>
      </c>
      <c r="V41" s="4">
        <v>10.66</v>
      </c>
      <c r="W41" s="4">
        <v>2.5270000000000001</v>
      </c>
      <c r="AD41" s="4" t="s">
        <v>584</v>
      </c>
      <c r="AF41" s="1" t="s">
        <v>710</v>
      </c>
      <c r="AG41" s="1" t="s">
        <v>707</v>
      </c>
      <c r="AL41" s="1" t="s">
        <v>708</v>
      </c>
      <c r="AM41" s="99">
        <v>45278</v>
      </c>
      <c r="AQ41" s="4">
        <v>46.869</v>
      </c>
      <c r="AR41" s="4" t="str">
        <f>IF(ISNA(MATCH($BA41,planas!$BA:$BA,0)),"ne","taip")</f>
        <v>ne</v>
      </c>
      <c r="BA41" s="1" t="s">
        <v>758</v>
      </c>
      <c r="BB41" s="1">
        <f>MOD(SUMPRODUCT(--($T$1:$T40&lt;&gt;$T$2:$T41)),2)</f>
        <v>0</v>
      </c>
    </row>
    <row r="42" spans="1:54" ht="14.4" hidden="1" x14ac:dyDescent="0.3">
      <c r="A42" s="1" t="s">
        <v>294</v>
      </c>
      <c r="B42" s="124" t="s">
        <v>215</v>
      </c>
      <c r="C42" s="1" t="s">
        <v>56</v>
      </c>
      <c r="D42" s="1">
        <v>3</v>
      </c>
      <c r="E42" s="2">
        <v>2930.0070000000001</v>
      </c>
      <c r="F42" s="2">
        <v>4531</v>
      </c>
      <c r="G42" s="2">
        <v>200.03800000000001</v>
      </c>
      <c r="H42" s="2">
        <v>4933.3599999999997</v>
      </c>
      <c r="J42" s="1">
        <v>11170</v>
      </c>
      <c r="L42" s="3" t="s">
        <v>278</v>
      </c>
      <c r="M42" s="115">
        <v>45250</v>
      </c>
      <c r="V42" s="4">
        <v>13.28</v>
      </c>
      <c r="W42" s="4">
        <v>2.012</v>
      </c>
      <c r="AD42" s="4" t="s">
        <v>277</v>
      </c>
      <c r="AF42" s="1" t="s">
        <v>712</v>
      </c>
      <c r="AG42" s="1" t="s">
        <v>711</v>
      </c>
      <c r="AL42" s="1" t="s">
        <v>708</v>
      </c>
      <c r="AM42" s="99">
        <v>45251</v>
      </c>
      <c r="AQ42" s="4">
        <v>26.478999999999999</v>
      </c>
      <c r="AR42" s="4" t="str">
        <f>IF(ISNA(MATCH($BA42,planas!$BA:$BA,0)),"ne","taip")</f>
        <v>ne</v>
      </c>
      <c r="BA42" s="1" t="s">
        <v>412</v>
      </c>
      <c r="BB42" s="1">
        <f>MOD(SUMPRODUCT(--($T$1:$T41&lt;&gt;$T$2:$T42)),2)</f>
        <v>0</v>
      </c>
    </row>
    <row r="43" spans="1:54" ht="14.4" hidden="1" x14ac:dyDescent="0.3">
      <c r="A43" s="1" t="s">
        <v>294</v>
      </c>
      <c r="B43" s="124" t="s">
        <v>341</v>
      </c>
      <c r="C43" s="1" t="s">
        <v>57</v>
      </c>
      <c r="D43" s="1">
        <v>1</v>
      </c>
      <c r="E43" s="2">
        <v>3780.0059999999999</v>
      </c>
      <c r="F43" s="2">
        <v>5420.0379999999996</v>
      </c>
      <c r="G43" s="2">
        <v>595.00099999999998</v>
      </c>
      <c r="H43" s="2">
        <v>9062</v>
      </c>
      <c r="J43" s="1">
        <v>14220</v>
      </c>
      <c r="L43" s="3" t="s">
        <v>349</v>
      </c>
      <c r="M43" s="115">
        <v>45268</v>
      </c>
      <c r="V43" s="4">
        <v>20.49</v>
      </c>
      <c r="W43" s="4">
        <v>3.488</v>
      </c>
      <c r="AD43" s="4" t="s">
        <v>584</v>
      </c>
      <c r="AF43" s="1" t="s">
        <v>710</v>
      </c>
      <c r="AG43" s="1" t="s">
        <v>710</v>
      </c>
      <c r="AL43" s="1" t="s">
        <v>708</v>
      </c>
      <c r="AM43" s="99">
        <v>45271</v>
      </c>
      <c r="AP43" s="2">
        <v>2</v>
      </c>
      <c r="AQ43" s="4">
        <v>40.587000000000003</v>
      </c>
      <c r="AR43" s="4" t="str">
        <f>IF(ISNA(MATCH($BA43,planas!$BA:$BA,0)),"ne","taip")</f>
        <v>ne</v>
      </c>
      <c r="BA43" s="1" t="s">
        <v>623</v>
      </c>
      <c r="BB43" s="1">
        <f>MOD(SUMPRODUCT(--($T$1:$T42&lt;&gt;$T$2:$T43)),2)</f>
        <v>0</v>
      </c>
    </row>
    <row r="44" spans="1:54" ht="14.4" hidden="1" x14ac:dyDescent="0.3">
      <c r="A44" s="1" t="s">
        <v>294</v>
      </c>
      <c r="B44" s="124" t="s">
        <v>312</v>
      </c>
      <c r="C44" s="1" t="s">
        <v>57</v>
      </c>
      <c r="D44" s="1">
        <v>2</v>
      </c>
      <c r="E44" s="2">
        <v>3280.0070000000001</v>
      </c>
      <c r="F44" s="2">
        <v>5165.0429999999997</v>
      </c>
      <c r="G44" s="2">
        <v>595.00800000000004</v>
      </c>
      <c r="H44" s="2">
        <v>6046.21</v>
      </c>
      <c r="J44" s="1">
        <v>10950</v>
      </c>
      <c r="L44" s="3" t="s">
        <v>349</v>
      </c>
      <c r="M44" s="115">
        <v>45247</v>
      </c>
      <c r="V44" s="4">
        <v>16.940000000000001</v>
      </c>
      <c r="W44" s="4">
        <v>2.383</v>
      </c>
      <c r="AD44" s="4" t="s">
        <v>584</v>
      </c>
      <c r="AF44" s="1" t="s">
        <v>712</v>
      </c>
      <c r="AG44" s="1" t="s">
        <v>711</v>
      </c>
      <c r="AL44" s="1" t="s">
        <v>708</v>
      </c>
      <c r="AM44" s="99">
        <v>45250</v>
      </c>
      <c r="AP44" s="2">
        <v>1</v>
      </c>
      <c r="AQ44" s="4">
        <v>37.564</v>
      </c>
      <c r="AR44" s="4" t="str">
        <f>IF(ISNA(MATCH($BA44,planas!$BA:$BA,0)),"ne","taip")</f>
        <v>ne</v>
      </c>
      <c r="BA44" s="1" t="s">
        <v>588</v>
      </c>
      <c r="BB44" s="1">
        <f>MOD(SUMPRODUCT(--($T$1:$T43&lt;&gt;$T$2:$T44)),2)</f>
        <v>0</v>
      </c>
    </row>
    <row r="45" spans="1:54" ht="14.4" hidden="1" x14ac:dyDescent="0.3">
      <c r="A45" s="1" t="s">
        <v>294</v>
      </c>
      <c r="B45" s="124" t="s">
        <v>232</v>
      </c>
      <c r="C45" s="1" t="s">
        <v>56</v>
      </c>
      <c r="D45" s="1">
        <v>2</v>
      </c>
      <c r="E45" s="2">
        <v>3630</v>
      </c>
      <c r="F45" s="2">
        <v>1560</v>
      </c>
      <c r="G45" s="2">
        <v>200</v>
      </c>
      <c r="H45" s="2">
        <v>2774.57</v>
      </c>
      <c r="J45" s="1">
        <v>14600</v>
      </c>
      <c r="L45" s="3" t="s">
        <v>753</v>
      </c>
      <c r="M45" s="115">
        <v>45271</v>
      </c>
      <c r="V45" s="4">
        <v>5.66</v>
      </c>
      <c r="W45" s="4">
        <v>1.1240000000000001</v>
      </c>
      <c r="AD45" s="4" t="s">
        <v>277</v>
      </c>
      <c r="AF45" s="1" t="s">
        <v>710</v>
      </c>
      <c r="AG45" s="1" t="s">
        <v>710</v>
      </c>
      <c r="AL45" s="1" t="s">
        <v>765</v>
      </c>
      <c r="AM45" s="99">
        <v>45272</v>
      </c>
      <c r="AQ45" s="4">
        <v>23.03</v>
      </c>
      <c r="AR45" s="4" t="str">
        <f>IF(ISNA(MATCH($BA45,planas!$BA:$BA,0)),"ne","taip")</f>
        <v>ne</v>
      </c>
      <c r="BA45" s="1" t="s">
        <v>493</v>
      </c>
      <c r="BB45" s="1">
        <f>MOD(SUMPRODUCT(--($T$1:$T44&lt;&gt;$T$2:$T45)),2)</f>
        <v>0</v>
      </c>
    </row>
    <row r="46" spans="1:54" ht="14.4" x14ac:dyDescent="0.3">
      <c r="A46" s="1" t="s">
        <v>294</v>
      </c>
      <c r="B46" s="124" t="s">
        <v>296</v>
      </c>
      <c r="C46" s="1" t="s">
        <v>57</v>
      </c>
      <c r="D46" s="1">
        <v>1</v>
      </c>
      <c r="E46" s="2">
        <v>3280.0070000000001</v>
      </c>
      <c r="F46" s="2">
        <v>6410.0150000000003</v>
      </c>
      <c r="G46" s="2">
        <v>595.01</v>
      </c>
      <c r="H46" s="2">
        <v>7852.97</v>
      </c>
      <c r="J46" s="1">
        <v>13170</v>
      </c>
      <c r="K46" s="3">
        <v>45149</v>
      </c>
      <c r="L46" s="3" t="s">
        <v>349</v>
      </c>
      <c r="M46" s="115">
        <v>45261</v>
      </c>
      <c r="T46" s="1">
        <v>4</v>
      </c>
      <c r="U46" s="113">
        <v>0.58389610389610391</v>
      </c>
      <c r="V46" s="4">
        <v>21.02</v>
      </c>
      <c r="W46" s="4">
        <v>3.0609999999999999</v>
      </c>
      <c r="AC46" s="1">
        <v>2</v>
      </c>
      <c r="AD46" s="4" t="s">
        <v>584</v>
      </c>
      <c r="AF46" s="1" t="s">
        <v>710</v>
      </c>
      <c r="AG46" s="1" t="s">
        <v>712</v>
      </c>
      <c r="AL46" s="1" t="s">
        <v>708</v>
      </c>
      <c r="AM46" s="99">
        <v>45264</v>
      </c>
      <c r="AP46" s="2">
        <v>2</v>
      </c>
      <c r="AQ46" s="4">
        <v>27.55</v>
      </c>
      <c r="AR46" s="4" t="str">
        <f>IF(ISNA(MATCH($BA46,planas!$BA:$BA,0)),"ne","taip")</f>
        <v>taip</v>
      </c>
      <c r="BA46" s="1" t="s">
        <v>565</v>
      </c>
      <c r="BB46" s="1">
        <f>MOD(SUMPRODUCT(--($T$1:$T45&lt;&gt;$T$2:$T46)),2)</f>
        <v>1</v>
      </c>
    </row>
    <row r="47" spans="1:54" ht="14.4" hidden="1" x14ac:dyDescent="0.3">
      <c r="A47" s="1" t="s">
        <v>294</v>
      </c>
      <c r="B47" s="124" t="s">
        <v>183</v>
      </c>
      <c r="C47" s="1" t="s">
        <v>56</v>
      </c>
      <c r="D47" s="1">
        <v>4</v>
      </c>
      <c r="E47" s="2">
        <v>2920.0070000000001</v>
      </c>
      <c r="F47" s="2">
        <v>2460</v>
      </c>
      <c r="G47" s="2">
        <v>200.00299999999999</v>
      </c>
      <c r="H47" s="2">
        <v>3395.42</v>
      </c>
      <c r="J47" s="1">
        <v>9890</v>
      </c>
      <c r="L47" s="3" t="s">
        <v>753</v>
      </c>
      <c r="M47" s="115">
        <v>45243</v>
      </c>
      <c r="V47" s="4">
        <v>7.18</v>
      </c>
      <c r="W47" s="4">
        <v>1.3740000000000001</v>
      </c>
      <c r="AD47" s="4" t="s">
        <v>277</v>
      </c>
      <c r="AF47" s="1" t="s">
        <v>706</v>
      </c>
      <c r="AG47" s="1" t="s">
        <v>713</v>
      </c>
      <c r="AL47" s="1" t="s">
        <v>708</v>
      </c>
      <c r="AM47" s="99">
        <v>45244</v>
      </c>
      <c r="AQ47" s="4">
        <v>32.081000000000003</v>
      </c>
      <c r="AR47" s="4" t="str">
        <f>IF(ISNA(MATCH($BA47,planas!$BA:$BA,0)),"ne","taip")</f>
        <v>ne</v>
      </c>
      <c r="BA47" s="1" t="s">
        <v>397</v>
      </c>
      <c r="BB47" s="1">
        <f>MOD(SUMPRODUCT(--($T$1:$T46&lt;&gt;$T$2:$T47)),2)</f>
        <v>0</v>
      </c>
    </row>
    <row r="48" spans="1:54" ht="14.4" hidden="1" x14ac:dyDescent="0.3">
      <c r="A48" s="1" t="s">
        <v>294</v>
      </c>
      <c r="B48" s="124" t="s">
        <v>518</v>
      </c>
      <c r="C48" s="1" t="s">
        <v>57</v>
      </c>
      <c r="D48" s="1">
        <v>1</v>
      </c>
      <c r="E48" s="2">
        <v>3270.01</v>
      </c>
      <c r="F48" s="2">
        <v>4679.9870000000001</v>
      </c>
      <c r="G48" s="2">
        <v>595.01099999999997</v>
      </c>
      <c r="H48" s="2">
        <v>5088.18</v>
      </c>
      <c r="J48" s="1">
        <v>8590</v>
      </c>
      <c r="L48" s="3" t="s">
        <v>349</v>
      </c>
      <c r="M48" s="115">
        <v>45233</v>
      </c>
      <c r="V48" s="4">
        <v>15.3</v>
      </c>
      <c r="W48" s="4">
        <v>1.9750000000000001</v>
      </c>
      <c r="AD48" s="4" t="s">
        <v>584</v>
      </c>
      <c r="AF48" s="1" t="s">
        <v>706</v>
      </c>
      <c r="AG48" s="1" t="s">
        <v>755</v>
      </c>
      <c r="AL48" s="1" t="s">
        <v>708</v>
      </c>
      <c r="AM48" s="99">
        <v>45236</v>
      </c>
      <c r="AP48" s="2">
        <v>1</v>
      </c>
      <c r="AQ48" s="4">
        <v>23.917000000000002</v>
      </c>
      <c r="AR48" s="4" t="str">
        <f>IF(ISNA(MATCH($BA48,planas!$BA:$BA,0)),"ne","taip")</f>
        <v>ne</v>
      </c>
      <c r="BA48" s="1" t="s">
        <v>517</v>
      </c>
      <c r="BB48" s="1">
        <f>MOD(SUMPRODUCT(--($T$1:$T47&lt;&gt;$T$2:$T48)),2)</f>
        <v>0</v>
      </c>
    </row>
    <row r="49" spans="1:54" ht="14.4" hidden="1" x14ac:dyDescent="0.3">
      <c r="A49" s="1" t="s">
        <v>294</v>
      </c>
      <c r="B49" s="124" t="s">
        <v>311</v>
      </c>
      <c r="C49" s="1" t="s">
        <v>57</v>
      </c>
      <c r="D49" s="1">
        <v>1</v>
      </c>
      <c r="E49" s="2">
        <v>3280.0079999999998</v>
      </c>
      <c r="F49" s="2">
        <v>3375.0129999999999</v>
      </c>
      <c r="G49" s="2">
        <v>595</v>
      </c>
      <c r="H49" s="2">
        <v>4086.86</v>
      </c>
      <c r="J49" s="1">
        <v>9730</v>
      </c>
      <c r="L49" s="3" t="s">
        <v>348</v>
      </c>
      <c r="M49" s="115">
        <v>45243</v>
      </c>
      <c r="V49" s="4">
        <v>11.07</v>
      </c>
      <c r="W49" s="4">
        <v>1.6140000000000001</v>
      </c>
      <c r="AD49" s="4" t="s">
        <v>584</v>
      </c>
      <c r="AF49" s="1" t="s">
        <v>706</v>
      </c>
      <c r="AG49" s="1" t="s">
        <v>713</v>
      </c>
      <c r="AL49" s="1" t="s">
        <v>708</v>
      </c>
      <c r="AM49" s="99">
        <v>45244</v>
      </c>
      <c r="AQ49" s="4">
        <v>26.812999999999999</v>
      </c>
      <c r="AR49" s="4" t="str">
        <f>IF(ISNA(MATCH($BA49,planas!$BA:$BA,0)),"ne","taip")</f>
        <v>ne</v>
      </c>
      <c r="BA49" s="1" t="s">
        <v>606</v>
      </c>
      <c r="BB49" s="1">
        <f>MOD(SUMPRODUCT(--($T$1:$T48&lt;&gt;$T$2:$T49)),2)</f>
        <v>0</v>
      </c>
    </row>
    <row r="50" spans="1:54" ht="14.4" hidden="1" x14ac:dyDescent="0.3">
      <c r="A50" s="1" t="s">
        <v>294</v>
      </c>
      <c r="B50" s="124" t="s">
        <v>326</v>
      </c>
      <c r="C50" s="1" t="s">
        <v>57</v>
      </c>
      <c r="D50" s="1">
        <v>1</v>
      </c>
      <c r="E50" s="2">
        <v>3270.0070000000001</v>
      </c>
      <c r="F50" s="2">
        <v>5165.0429999999997</v>
      </c>
      <c r="G50" s="2">
        <v>545.03200000000004</v>
      </c>
      <c r="H50" s="2">
        <v>6133.07</v>
      </c>
      <c r="J50" s="1">
        <v>8700</v>
      </c>
      <c r="L50" s="3" t="s">
        <v>349</v>
      </c>
      <c r="M50" s="115">
        <v>45236</v>
      </c>
      <c r="V50" s="4">
        <v>16.89</v>
      </c>
      <c r="W50" s="4">
        <v>2.4180000000000001</v>
      </c>
      <c r="AD50" s="4" t="s">
        <v>584</v>
      </c>
      <c r="AF50" s="1" t="s">
        <v>706</v>
      </c>
      <c r="AG50" s="1" t="s">
        <v>755</v>
      </c>
      <c r="AL50" s="1" t="s">
        <v>708</v>
      </c>
      <c r="AM50" s="99">
        <v>45237</v>
      </c>
      <c r="AP50" s="2">
        <v>1</v>
      </c>
      <c r="AQ50" s="4">
        <v>32.253999999999998</v>
      </c>
      <c r="AR50" s="4" t="str">
        <f>IF(ISNA(MATCH($BA50,planas!$BA:$BA,0)),"ne","taip")</f>
        <v>ne</v>
      </c>
      <c r="BA50" s="1" t="s">
        <v>543</v>
      </c>
      <c r="BB50" s="1">
        <f>MOD(SUMPRODUCT(--($T$1:$T49&lt;&gt;$T$2:$T50)),2)</f>
        <v>0</v>
      </c>
    </row>
    <row r="51" spans="1:54" ht="14.4" hidden="1" x14ac:dyDescent="0.3">
      <c r="A51" s="1" t="s">
        <v>294</v>
      </c>
      <c r="B51" s="124" t="s">
        <v>153</v>
      </c>
      <c r="C51" s="1" t="s">
        <v>56</v>
      </c>
      <c r="D51" s="1">
        <v>1</v>
      </c>
      <c r="E51" s="2">
        <v>3510</v>
      </c>
      <c r="F51" s="2">
        <v>1560</v>
      </c>
      <c r="G51" s="2">
        <v>200</v>
      </c>
      <c r="H51" s="2">
        <v>2680.81</v>
      </c>
      <c r="J51" s="1">
        <v>15560</v>
      </c>
      <c r="L51" s="3" t="s">
        <v>753</v>
      </c>
      <c r="M51" s="115">
        <v>45278</v>
      </c>
      <c r="V51" s="4">
        <v>5.48</v>
      </c>
      <c r="W51" s="4">
        <v>1.087</v>
      </c>
      <c r="AD51" s="4" t="s">
        <v>277</v>
      </c>
      <c r="AF51" s="1" t="s">
        <v>710</v>
      </c>
      <c r="AG51" s="1" t="s">
        <v>707</v>
      </c>
      <c r="AL51" s="1" t="s">
        <v>765</v>
      </c>
      <c r="AM51" s="99">
        <v>45279</v>
      </c>
      <c r="AQ51" s="4">
        <v>22.882000000000001</v>
      </c>
      <c r="AR51" s="4" t="str">
        <f>IF(ISNA(MATCH($BA51,planas!$BA:$BA,0)),"ne","taip")</f>
        <v>ne</v>
      </c>
      <c r="BA51" s="1" t="s">
        <v>496</v>
      </c>
      <c r="BB51" s="1">
        <f>MOD(SUMPRODUCT(--($T$1:$T50&lt;&gt;$T$2:$T51)),2)</f>
        <v>0</v>
      </c>
    </row>
    <row r="52" spans="1:54" ht="14.4" x14ac:dyDescent="0.3">
      <c r="A52" s="1" t="s">
        <v>294</v>
      </c>
      <c r="B52" s="124" t="s">
        <v>143</v>
      </c>
      <c r="C52" s="1" t="s">
        <v>56</v>
      </c>
      <c r="D52" s="1">
        <v>1</v>
      </c>
      <c r="E52" s="2">
        <v>3400.0070000000001</v>
      </c>
      <c r="F52" s="2">
        <v>2081</v>
      </c>
      <c r="G52" s="2">
        <v>200.00399999999999</v>
      </c>
      <c r="H52" s="2">
        <v>3425.86</v>
      </c>
      <c r="J52" s="1">
        <v>6130</v>
      </c>
      <c r="K52" s="3">
        <v>45159</v>
      </c>
      <c r="L52" s="3" t="s">
        <v>278</v>
      </c>
      <c r="M52" s="115">
        <v>45212</v>
      </c>
      <c r="T52" s="1">
        <v>4</v>
      </c>
      <c r="U52" s="113">
        <v>0.58389610389610391</v>
      </c>
      <c r="V52" s="4">
        <v>7.08</v>
      </c>
      <c r="W52" s="4">
        <v>1.397</v>
      </c>
      <c r="AC52" s="1">
        <v>2</v>
      </c>
      <c r="AD52" s="4" t="s">
        <v>277</v>
      </c>
      <c r="AF52" s="1" t="s">
        <v>711</v>
      </c>
      <c r="AG52" s="1" t="s">
        <v>710</v>
      </c>
      <c r="AL52" s="1" t="s">
        <v>708</v>
      </c>
      <c r="AM52" s="99">
        <v>45215</v>
      </c>
      <c r="AQ52" s="4">
        <v>16.030999999999999</v>
      </c>
      <c r="AR52" s="4" t="str">
        <f>IF(ISNA(MATCH($BA52,planas!$BA:$BA,0)),"ne","taip")</f>
        <v>taip</v>
      </c>
      <c r="BA52" s="1" t="s">
        <v>760</v>
      </c>
      <c r="BB52" s="1">
        <f>MOD(SUMPRODUCT(--($T$1:$T51&lt;&gt;$T$2:$T52)),2)</f>
        <v>1</v>
      </c>
    </row>
    <row r="53" spans="1:54" ht="14.4" hidden="1" x14ac:dyDescent="0.3">
      <c r="A53" s="1" t="s">
        <v>294</v>
      </c>
      <c r="B53" s="124" t="s">
        <v>356</v>
      </c>
      <c r="C53" s="1" t="s">
        <v>57</v>
      </c>
      <c r="D53" s="1">
        <v>1</v>
      </c>
      <c r="E53" s="2">
        <v>3130.01</v>
      </c>
      <c r="F53" s="2">
        <v>6210.0060000000003</v>
      </c>
      <c r="G53" s="2">
        <v>595.00199999999995</v>
      </c>
      <c r="H53" s="2">
        <v>7732.64</v>
      </c>
      <c r="J53" s="1">
        <v>14300</v>
      </c>
      <c r="L53" s="3" t="s">
        <v>349</v>
      </c>
      <c r="M53" s="115">
        <v>45268</v>
      </c>
      <c r="V53" s="4">
        <v>19.440000000000001</v>
      </c>
      <c r="W53" s="4">
        <v>3.0419999999999998</v>
      </c>
      <c r="AD53" s="4" t="s">
        <v>584</v>
      </c>
      <c r="AF53" s="1" t="s">
        <v>710</v>
      </c>
      <c r="AG53" s="1" t="s">
        <v>710</v>
      </c>
      <c r="AL53" s="1" t="s">
        <v>708</v>
      </c>
      <c r="AM53" s="99">
        <v>45271</v>
      </c>
      <c r="AP53" s="2">
        <v>3</v>
      </c>
      <c r="AQ53" s="4">
        <v>37.912999999999997</v>
      </c>
      <c r="AR53" s="4" t="str">
        <f>IF(ISNA(MATCH($BA53,planas!$BA:$BA,0)),"ne","taip")</f>
        <v>ne</v>
      </c>
      <c r="BA53" s="1" t="s">
        <v>619</v>
      </c>
      <c r="BB53" s="1">
        <f>MOD(SUMPRODUCT(--($T$1:$T52&lt;&gt;$T$2:$T53)),2)</f>
        <v>0</v>
      </c>
    </row>
    <row r="54" spans="1:54" ht="14.4" hidden="1" x14ac:dyDescent="0.3">
      <c r="A54" s="1" t="s">
        <v>294</v>
      </c>
      <c r="B54" s="124" t="s">
        <v>224</v>
      </c>
      <c r="C54" s="1" t="s">
        <v>56</v>
      </c>
      <c r="D54" s="1">
        <v>4</v>
      </c>
      <c r="E54" s="2">
        <v>2920.0070000000001</v>
      </c>
      <c r="F54" s="2">
        <v>3845</v>
      </c>
      <c r="G54" s="2">
        <v>200.00299999999999</v>
      </c>
      <c r="H54" s="2">
        <v>5406.34</v>
      </c>
      <c r="J54" s="1">
        <v>13360</v>
      </c>
      <c r="L54" s="3" t="s">
        <v>753</v>
      </c>
      <c r="M54" s="115">
        <v>45264</v>
      </c>
      <c r="V54" s="4">
        <v>11.23</v>
      </c>
      <c r="W54" s="4">
        <v>2.202</v>
      </c>
      <c r="AD54" s="4" t="s">
        <v>277</v>
      </c>
      <c r="AF54" s="1" t="s">
        <v>710</v>
      </c>
      <c r="AG54" s="1" t="s">
        <v>712</v>
      </c>
      <c r="AL54" s="1" t="s">
        <v>708</v>
      </c>
      <c r="AM54" s="99">
        <v>45265</v>
      </c>
      <c r="AQ54" s="4">
        <v>30.431000000000001</v>
      </c>
      <c r="AR54" s="4" t="str">
        <f>IF(ISNA(MATCH($BA54,planas!$BA:$BA,0)),"ne","taip")</f>
        <v>ne</v>
      </c>
      <c r="BA54" s="1" t="s">
        <v>459</v>
      </c>
      <c r="BB54" s="1">
        <f>MOD(SUMPRODUCT(--($T$1:$T53&lt;&gt;$T$2:$T54)),2)</f>
        <v>0</v>
      </c>
    </row>
    <row r="55" spans="1:54" ht="14.4" hidden="1" x14ac:dyDescent="0.3">
      <c r="A55" s="1" t="s">
        <v>294</v>
      </c>
      <c r="B55" s="124" t="s">
        <v>541</v>
      </c>
      <c r="C55" s="1" t="s">
        <v>57</v>
      </c>
      <c r="D55" s="1">
        <v>1</v>
      </c>
      <c r="E55" s="2">
        <v>3270.0070000000001</v>
      </c>
      <c r="F55" s="2">
        <v>2239.9989999999998</v>
      </c>
      <c r="G55" s="2">
        <v>545.00699999999995</v>
      </c>
      <c r="H55" s="2">
        <v>3476.67</v>
      </c>
      <c r="J55" s="1">
        <v>8640</v>
      </c>
      <c r="L55" s="3" t="s">
        <v>753</v>
      </c>
      <c r="M55" s="115">
        <v>45236</v>
      </c>
      <c r="V55" s="4">
        <v>7.32</v>
      </c>
      <c r="W55" s="4">
        <v>1.3740000000000001</v>
      </c>
      <c r="AD55" s="4" t="s">
        <v>584</v>
      </c>
      <c r="AF55" s="1" t="s">
        <v>706</v>
      </c>
      <c r="AG55" s="1" t="s">
        <v>755</v>
      </c>
      <c r="AL55" s="1" t="s">
        <v>708</v>
      </c>
      <c r="AM55" s="99">
        <v>45237</v>
      </c>
      <c r="AQ55" s="4">
        <v>21.201000000000001</v>
      </c>
      <c r="AR55" s="4" t="str">
        <f>IF(ISNA(MATCH($BA55,planas!$BA:$BA,0)),"ne","taip")</f>
        <v>ne</v>
      </c>
      <c r="BA55" s="1" t="s">
        <v>540</v>
      </c>
      <c r="BB55" s="1">
        <f>MOD(SUMPRODUCT(--($T$1:$T54&lt;&gt;$T$2:$T55)),2)</f>
        <v>0</v>
      </c>
    </row>
    <row r="56" spans="1:54" ht="14.4" hidden="1" x14ac:dyDescent="0.3">
      <c r="A56" s="1" t="s">
        <v>294</v>
      </c>
      <c r="B56" s="124" t="s">
        <v>274</v>
      </c>
      <c r="C56" s="1" t="s">
        <v>56</v>
      </c>
      <c r="D56" s="1">
        <v>1</v>
      </c>
      <c r="E56" s="2">
        <v>2920.0070000000001</v>
      </c>
      <c r="F56" s="2">
        <v>3430</v>
      </c>
      <c r="G56" s="2">
        <v>200.006</v>
      </c>
      <c r="H56" s="2">
        <v>4866</v>
      </c>
      <c r="J56" s="1">
        <v>15460</v>
      </c>
      <c r="L56" s="3" t="s">
        <v>753</v>
      </c>
      <c r="M56" s="115">
        <v>45275</v>
      </c>
      <c r="V56" s="4">
        <v>10.02</v>
      </c>
      <c r="W56" s="4">
        <v>1.988</v>
      </c>
      <c r="AD56" s="4" t="s">
        <v>277</v>
      </c>
      <c r="AF56" s="1" t="s">
        <v>710</v>
      </c>
      <c r="AG56" s="1" t="s">
        <v>707</v>
      </c>
      <c r="AL56" s="1" t="s">
        <v>708</v>
      </c>
      <c r="AM56" s="99">
        <v>45278</v>
      </c>
      <c r="AQ56" s="4">
        <v>15.629</v>
      </c>
      <c r="AR56" s="4" t="str">
        <f>IF(ISNA(MATCH($BA56,planas!$BA:$BA,0)),"ne","taip")</f>
        <v>ne</v>
      </c>
      <c r="BA56" s="1" t="s">
        <v>659</v>
      </c>
      <c r="BB56" s="1">
        <f>MOD(SUMPRODUCT(--($T$1:$T55&lt;&gt;$T$2:$T56)),2)</f>
        <v>0</v>
      </c>
    </row>
    <row r="57" spans="1:54" ht="14.4" hidden="1" x14ac:dyDescent="0.3">
      <c r="A57" s="1" t="s">
        <v>294</v>
      </c>
      <c r="B57" s="124" t="s">
        <v>545</v>
      </c>
      <c r="C57" s="1" t="s">
        <v>57</v>
      </c>
      <c r="D57" s="1">
        <v>1</v>
      </c>
      <c r="E57" s="2">
        <v>3270.002</v>
      </c>
      <c r="F57" s="2">
        <v>3145.0340000000001</v>
      </c>
      <c r="G57" s="2">
        <v>595</v>
      </c>
      <c r="H57" s="2">
        <v>3837.92</v>
      </c>
      <c r="J57" s="1">
        <v>8620</v>
      </c>
      <c r="L57" s="3" t="s">
        <v>348</v>
      </c>
      <c r="M57" s="115">
        <v>45233</v>
      </c>
      <c r="V57" s="4">
        <v>10.28</v>
      </c>
      <c r="W57" s="4">
        <v>1.5109999999999999</v>
      </c>
      <c r="AD57" s="4" t="s">
        <v>744</v>
      </c>
      <c r="AF57" s="1" t="s">
        <v>706</v>
      </c>
      <c r="AG57" s="1" t="s">
        <v>755</v>
      </c>
      <c r="AL57" s="1" t="s">
        <v>708</v>
      </c>
      <c r="AM57" s="99">
        <v>45236</v>
      </c>
      <c r="AP57" s="2">
        <v>2</v>
      </c>
      <c r="AQ57" s="4">
        <v>25.050999999999998</v>
      </c>
      <c r="AR57" s="4" t="str">
        <f>IF(ISNA(MATCH($BA57,planas!$BA:$BA,0)),"ne","taip")</f>
        <v>ne</v>
      </c>
      <c r="BA57" s="1" t="s">
        <v>544</v>
      </c>
      <c r="BB57" s="1">
        <f>MOD(SUMPRODUCT(--($T$1:$T56&lt;&gt;$T$2:$T57)),2)</f>
        <v>0</v>
      </c>
    </row>
    <row r="58" spans="1:54" ht="14.4" hidden="1" x14ac:dyDescent="0.3">
      <c r="A58" s="1" t="s">
        <v>294</v>
      </c>
      <c r="B58" s="124" t="s">
        <v>304</v>
      </c>
      <c r="C58" s="1" t="s">
        <v>57</v>
      </c>
      <c r="D58" s="1">
        <v>2</v>
      </c>
      <c r="E58" s="2">
        <v>3280.0050000000001</v>
      </c>
      <c r="F58" s="2">
        <v>3634.9639999999999</v>
      </c>
      <c r="G58" s="2">
        <v>595.00099999999998</v>
      </c>
      <c r="H58" s="2">
        <v>4835.43</v>
      </c>
      <c r="J58" s="1">
        <v>12000</v>
      </c>
      <c r="L58" s="3" t="s">
        <v>349</v>
      </c>
      <c r="M58" s="115">
        <v>45254</v>
      </c>
      <c r="V58" s="4">
        <v>11.92</v>
      </c>
      <c r="W58" s="4">
        <v>1.9079999999999999</v>
      </c>
      <c r="AD58" s="4" t="s">
        <v>584</v>
      </c>
      <c r="AF58" s="1" t="s">
        <v>712</v>
      </c>
      <c r="AG58" s="1" t="s">
        <v>706</v>
      </c>
      <c r="AL58" s="1" t="s">
        <v>708</v>
      </c>
      <c r="AM58" s="99">
        <v>45257</v>
      </c>
      <c r="AP58" s="2">
        <v>2</v>
      </c>
      <c r="AQ58" s="4">
        <v>26.108000000000001</v>
      </c>
      <c r="AR58" s="4" t="str">
        <f>IF(ISNA(MATCH($BA58,planas!$BA:$BA,0)),"ne","taip")</f>
        <v>ne</v>
      </c>
      <c r="BA58" s="1" t="s">
        <v>613</v>
      </c>
      <c r="BB58" s="1">
        <f>MOD(SUMPRODUCT(--($T$1:$T57&lt;&gt;$T$2:$T58)),2)</f>
        <v>0</v>
      </c>
    </row>
    <row r="59" spans="1:54" ht="14.4" hidden="1" x14ac:dyDescent="0.3">
      <c r="A59" s="1" t="s">
        <v>294</v>
      </c>
      <c r="B59" s="124" t="s">
        <v>339</v>
      </c>
      <c r="C59" s="1" t="s">
        <v>57</v>
      </c>
      <c r="D59" s="1">
        <v>2</v>
      </c>
      <c r="E59" s="2">
        <v>3130.0140000000001</v>
      </c>
      <c r="F59" s="2">
        <v>7130.0010000000002</v>
      </c>
      <c r="G59" s="2">
        <v>595.00300000000004</v>
      </c>
      <c r="H59" s="2">
        <v>8677.7000000000007</v>
      </c>
      <c r="J59" s="1">
        <v>7170</v>
      </c>
      <c r="L59" s="3" t="s">
        <v>349</v>
      </c>
      <c r="M59" s="115">
        <v>45219</v>
      </c>
      <c r="V59" s="4">
        <v>22.32</v>
      </c>
      <c r="W59" s="4">
        <v>3.42</v>
      </c>
      <c r="AD59" s="4" t="s">
        <v>584</v>
      </c>
      <c r="AF59" s="1" t="s">
        <v>711</v>
      </c>
      <c r="AG59" s="1" t="s">
        <v>707</v>
      </c>
      <c r="AL59" s="1" t="s">
        <v>708</v>
      </c>
      <c r="AM59" s="99">
        <v>45222</v>
      </c>
      <c r="AP59" s="2">
        <v>2</v>
      </c>
      <c r="AQ59" s="4">
        <v>73.332999999999998</v>
      </c>
      <c r="AR59" s="4" t="str">
        <f>IF(ISNA(MATCH($BA59,planas!$BA:$BA,0)),"ne","taip")</f>
        <v>ne</v>
      </c>
      <c r="BA59" s="1" t="s">
        <v>358</v>
      </c>
      <c r="BB59" s="1">
        <f>MOD(SUMPRODUCT(--($T$1:$T58&lt;&gt;$T$2:$T59)),2)</f>
        <v>0</v>
      </c>
    </row>
    <row r="60" spans="1:54" ht="14.4" hidden="1" x14ac:dyDescent="0.3">
      <c r="A60" s="1" t="s">
        <v>294</v>
      </c>
      <c r="B60" s="124" t="s">
        <v>182</v>
      </c>
      <c r="C60" s="1" t="s">
        <v>56</v>
      </c>
      <c r="D60" s="1">
        <v>1</v>
      </c>
      <c r="E60" s="2">
        <v>360</v>
      </c>
      <c r="F60" s="2">
        <v>2200</v>
      </c>
      <c r="G60" s="2">
        <v>200.001</v>
      </c>
      <c r="H60" s="2">
        <v>385.14</v>
      </c>
      <c r="J60" s="1">
        <v>16110</v>
      </c>
      <c r="L60" s="3" t="s">
        <v>753</v>
      </c>
      <c r="M60" s="115">
        <v>45283</v>
      </c>
      <c r="V60" s="4">
        <v>0.79</v>
      </c>
      <c r="W60" s="4">
        <v>0.156</v>
      </c>
      <c r="AD60" s="4" t="s">
        <v>277</v>
      </c>
      <c r="AF60" s="1" t="s">
        <v>710</v>
      </c>
      <c r="AG60" s="1" t="s">
        <v>709</v>
      </c>
      <c r="AL60" s="1" t="s">
        <v>708</v>
      </c>
      <c r="AM60" s="99">
        <v>45287</v>
      </c>
      <c r="AP60" s="2">
        <v>1</v>
      </c>
      <c r="AQ60" s="4">
        <v>0.48199999999999998</v>
      </c>
      <c r="AR60" s="4" t="str">
        <f>IF(ISNA(MATCH($BA60,planas!$BA:$BA,0)),"ne","taip")</f>
        <v>ne</v>
      </c>
      <c r="BA60" s="1" t="s">
        <v>499</v>
      </c>
      <c r="BB60" s="1">
        <f>MOD(SUMPRODUCT(--($T$1:$T59&lt;&gt;$T$2:$T60)),2)</f>
        <v>0</v>
      </c>
    </row>
    <row r="61" spans="1:54" ht="14.4" hidden="1" x14ac:dyDescent="0.3">
      <c r="A61" s="1" t="s">
        <v>294</v>
      </c>
      <c r="B61" s="124" t="s">
        <v>196</v>
      </c>
      <c r="C61" s="1" t="s">
        <v>56</v>
      </c>
      <c r="D61" s="1">
        <v>4</v>
      </c>
      <c r="E61" s="2">
        <v>2920.0070000000001</v>
      </c>
      <c r="F61" s="2">
        <v>3430</v>
      </c>
      <c r="G61" s="2">
        <v>200.006</v>
      </c>
      <c r="H61" s="2">
        <v>4869.1400000000003</v>
      </c>
      <c r="J61" s="1">
        <v>12250</v>
      </c>
      <c r="L61" s="3" t="s">
        <v>753</v>
      </c>
      <c r="M61" s="115">
        <v>45257</v>
      </c>
      <c r="V61" s="4">
        <v>10.02</v>
      </c>
      <c r="W61" s="4">
        <v>1.988</v>
      </c>
      <c r="AD61" s="4" t="s">
        <v>277</v>
      </c>
      <c r="AF61" s="1" t="s">
        <v>712</v>
      </c>
      <c r="AG61" s="1" t="s">
        <v>706</v>
      </c>
      <c r="AL61" s="1" t="s">
        <v>708</v>
      </c>
      <c r="AM61" s="99">
        <v>45258</v>
      </c>
      <c r="AQ61" s="4">
        <v>15.66</v>
      </c>
      <c r="AR61" s="4" t="str">
        <f>IF(ISNA(MATCH($BA61,planas!$BA:$BA,0)),"ne","taip")</f>
        <v>ne</v>
      </c>
      <c r="BA61" s="1" t="s">
        <v>453</v>
      </c>
      <c r="BB61" s="1">
        <f>MOD(SUMPRODUCT(--($T$1:$T60&lt;&gt;$T$2:$T61)),2)</f>
        <v>0</v>
      </c>
    </row>
    <row r="62" spans="1:54" ht="14.4" hidden="1" x14ac:dyDescent="0.3">
      <c r="A62" s="1" t="s">
        <v>294</v>
      </c>
      <c r="B62" s="124" t="s">
        <v>196</v>
      </c>
      <c r="C62" s="1" t="s">
        <v>56</v>
      </c>
      <c r="D62" s="1">
        <v>4</v>
      </c>
      <c r="E62" s="2">
        <v>2920.0070000000001</v>
      </c>
      <c r="F62" s="2">
        <v>3430</v>
      </c>
      <c r="G62" s="2">
        <v>200.006</v>
      </c>
      <c r="H62" s="2">
        <v>4869.1400000000003</v>
      </c>
      <c r="J62" s="1">
        <v>13370</v>
      </c>
      <c r="L62" s="3" t="s">
        <v>753</v>
      </c>
      <c r="M62" s="115">
        <v>45264</v>
      </c>
      <c r="V62" s="4">
        <v>10.02</v>
      </c>
      <c r="W62" s="4">
        <v>1.988</v>
      </c>
      <c r="AD62" s="4" t="s">
        <v>277</v>
      </c>
      <c r="AF62" s="1" t="s">
        <v>710</v>
      </c>
      <c r="AG62" s="1" t="s">
        <v>712</v>
      </c>
      <c r="AL62" s="1" t="s">
        <v>708</v>
      </c>
      <c r="AM62" s="99">
        <v>45265</v>
      </c>
      <c r="AQ62" s="4">
        <v>15.66</v>
      </c>
      <c r="AR62" s="4" t="str">
        <f>IF(ISNA(MATCH($BA62,planas!$BA:$BA,0)),"ne","taip")</f>
        <v>ne</v>
      </c>
      <c r="BA62" s="1" t="s">
        <v>474</v>
      </c>
      <c r="BB62" s="1">
        <f>MOD(SUMPRODUCT(--($T$1:$T61&lt;&gt;$T$2:$T62)),2)</f>
        <v>0</v>
      </c>
    </row>
    <row r="63" spans="1:54" ht="14.4" hidden="1" x14ac:dyDescent="0.3">
      <c r="A63" s="1" t="s">
        <v>294</v>
      </c>
      <c r="B63" s="124" t="s">
        <v>231</v>
      </c>
      <c r="C63" s="1" t="s">
        <v>56</v>
      </c>
      <c r="D63" s="1">
        <v>4</v>
      </c>
      <c r="E63" s="2">
        <v>2920.0070000000001</v>
      </c>
      <c r="F63" s="2">
        <v>5331</v>
      </c>
      <c r="G63" s="2">
        <v>200.00399999999999</v>
      </c>
      <c r="H63" s="2">
        <v>7584.72</v>
      </c>
      <c r="J63" s="1">
        <v>9850</v>
      </c>
      <c r="L63" s="3" t="s">
        <v>278</v>
      </c>
      <c r="M63" s="115">
        <v>45243</v>
      </c>
      <c r="V63" s="4">
        <v>15.57</v>
      </c>
      <c r="W63" s="4">
        <v>3.1040000000000001</v>
      </c>
      <c r="AD63" s="4" t="s">
        <v>277</v>
      </c>
      <c r="AF63" s="1" t="s">
        <v>706</v>
      </c>
      <c r="AG63" s="1" t="s">
        <v>713</v>
      </c>
      <c r="AL63" s="1" t="s">
        <v>708</v>
      </c>
      <c r="AM63" s="99">
        <v>45244</v>
      </c>
      <c r="AQ63" s="4">
        <v>19.393999999999998</v>
      </c>
      <c r="AR63" s="4" t="str">
        <f>IF(ISNA(MATCH($BA63,planas!$BA:$BA,0)),"ne","taip")</f>
        <v>ne</v>
      </c>
      <c r="BA63" s="1" t="s">
        <v>486</v>
      </c>
      <c r="BB63" s="1">
        <f>MOD(SUMPRODUCT(--($T$1:$T62&lt;&gt;$T$2:$T63)),2)</f>
        <v>0</v>
      </c>
    </row>
    <row r="64" spans="1:54" ht="14.4" hidden="1" x14ac:dyDescent="0.3">
      <c r="A64" s="1" t="s">
        <v>294</v>
      </c>
      <c r="B64" s="124" t="s">
        <v>324</v>
      </c>
      <c r="C64" s="1" t="s">
        <v>57</v>
      </c>
      <c r="D64" s="1">
        <v>2</v>
      </c>
      <c r="E64" s="2">
        <v>3280.0070000000001</v>
      </c>
      <c r="F64" s="2">
        <v>8090.0020000000004</v>
      </c>
      <c r="G64" s="2">
        <v>595</v>
      </c>
      <c r="H64" s="2">
        <v>8654.86</v>
      </c>
      <c r="J64" s="1">
        <v>11950</v>
      </c>
      <c r="L64" s="3" t="s">
        <v>349</v>
      </c>
      <c r="M64" s="115">
        <v>45254</v>
      </c>
      <c r="V64" s="4">
        <v>26.54</v>
      </c>
      <c r="W64" s="4">
        <v>3.38</v>
      </c>
      <c r="AD64" s="4" t="s">
        <v>584</v>
      </c>
      <c r="AF64" s="1" t="s">
        <v>712</v>
      </c>
      <c r="AG64" s="1" t="s">
        <v>706</v>
      </c>
      <c r="AL64" s="1" t="s">
        <v>280</v>
      </c>
      <c r="AM64" s="99">
        <v>45257</v>
      </c>
      <c r="AP64" s="2">
        <v>5</v>
      </c>
      <c r="AQ64" s="4">
        <v>49.936999999999998</v>
      </c>
      <c r="AR64" s="4" t="str">
        <f>IF(ISNA(MATCH($BA64,planas!$BA:$BA,0)),"ne","taip")</f>
        <v>ne</v>
      </c>
      <c r="BA64" s="1" t="s">
        <v>551</v>
      </c>
      <c r="BB64" s="1">
        <f>MOD(SUMPRODUCT(--($T$1:$T63&lt;&gt;$T$2:$T64)),2)</f>
        <v>0</v>
      </c>
    </row>
    <row r="65" spans="1:54" ht="14.4" hidden="1" x14ac:dyDescent="0.3">
      <c r="A65" s="1" t="s">
        <v>294</v>
      </c>
      <c r="B65" s="124" t="s">
        <v>142</v>
      </c>
      <c r="C65" s="1" t="s">
        <v>56</v>
      </c>
      <c r="D65" s="1">
        <v>1</v>
      </c>
      <c r="E65" s="2">
        <v>3120.0230000000001</v>
      </c>
      <c r="F65" s="2">
        <v>5660.9970000000003</v>
      </c>
      <c r="G65" s="2">
        <v>400.00400000000002</v>
      </c>
      <c r="H65" s="2">
        <v>8473.89</v>
      </c>
      <c r="J65" s="1">
        <v>8910</v>
      </c>
      <c r="L65" s="3" t="s">
        <v>278</v>
      </c>
      <c r="M65" s="115">
        <v>45237</v>
      </c>
      <c r="V65" s="4">
        <v>17.66</v>
      </c>
      <c r="W65" s="4">
        <v>3.399</v>
      </c>
      <c r="AD65" s="4" t="s">
        <v>350</v>
      </c>
      <c r="AF65" s="1" t="s">
        <v>706</v>
      </c>
      <c r="AG65" s="1" t="s">
        <v>755</v>
      </c>
      <c r="AL65" s="1" t="s">
        <v>708</v>
      </c>
      <c r="AM65" s="99">
        <v>45238</v>
      </c>
      <c r="AP65" s="2">
        <v>1</v>
      </c>
      <c r="AQ65" s="4">
        <v>115.42400000000001</v>
      </c>
      <c r="AR65" s="4" t="str">
        <f>IF(ISNA(MATCH($BA65,planas!$BA:$BA,0)),"ne","taip")</f>
        <v>ne</v>
      </c>
      <c r="BA65" s="1" t="s">
        <v>521</v>
      </c>
      <c r="BB65" s="1">
        <f>MOD(SUMPRODUCT(--($T$1:$T64&lt;&gt;$T$2:$T65)),2)</f>
        <v>0</v>
      </c>
    </row>
    <row r="66" spans="1:54" ht="14.4" hidden="1" x14ac:dyDescent="0.3">
      <c r="A66" s="1" t="s">
        <v>294</v>
      </c>
      <c r="B66" s="124" t="s">
        <v>261</v>
      </c>
      <c r="C66" s="1" t="s">
        <v>56</v>
      </c>
      <c r="D66" s="1">
        <v>1</v>
      </c>
      <c r="E66" s="2">
        <v>3630.0070000000001</v>
      </c>
      <c r="F66" s="2">
        <v>4230</v>
      </c>
      <c r="G66" s="2">
        <v>200.03700000000001</v>
      </c>
      <c r="H66" s="2">
        <v>6353.33</v>
      </c>
      <c r="J66" s="1">
        <v>14420</v>
      </c>
      <c r="L66" s="3" t="s">
        <v>754</v>
      </c>
      <c r="M66" s="115">
        <v>45271</v>
      </c>
      <c r="V66" s="4">
        <v>15.35</v>
      </c>
      <c r="W66" s="4">
        <v>2.5880000000000001</v>
      </c>
      <c r="AD66" s="4" t="s">
        <v>277</v>
      </c>
      <c r="AF66" s="1" t="s">
        <v>710</v>
      </c>
      <c r="AG66" s="1" t="s">
        <v>710</v>
      </c>
      <c r="AL66" s="1" t="s">
        <v>708</v>
      </c>
      <c r="AM66" s="99">
        <v>45272</v>
      </c>
      <c r="AQ66" s="4">
        <v>33.417000000000002</v>
      </c>
      <c r="AR66" s="4" t="str">
        <f>IF(ISNA(MATCH($BA66,planas!$BA:$BA,0)),"ne","taip")</f>
        <v>ne</v>
      </c>
      <c r="BA66" s="1" t="s">
        <v>642</v>
      </c>
      <c r="BB66" s="1">
        <f>MOD(SUMPRODUCT(--($T$1:$T65&lt;&gt;$T$2:$T66)),2)</f>
        <v>0</v>
      </c>
    </row>
    <row r="67" spans="1:54" ht="14.4" hidden="1" x14ac:dyDescent="0.3">
      <c r="A67" s="1" t="s">
        <v>294</v>
      </c>
      <c r="B67" s="124" t="s">
        <v>331</v>
      </c>
      <c r="C67" s="1" t="s">
        <v>57</v>
      </c>
      <c r="D67" s="1">
        <v>2</v>
      </c>
      <c r="E67" s="2">
        <v>3130.0079999999998</v>
      </c>
      <c r="F67" s="2">
        <v>7290.0709999999999</v>
      </c>
      <c r="G67" s="2">
        <v>595.029</v>
      </c>
      <c r="H67" s="2">
        <v>9356.82</v>
      </c>
      <c r="J67" s="1">
        <v>7110</v>
      </c>
      <c r="L67" s="3" t="s">
        <v>348</v>
      </c>
      <c r="M67" s="115">
        <v>45219</v>
      </c>
      <c r="V67" s="4">
        <v>22.82</v>
      </c>
      <c r="W67" s="4">
        <v>3.6829999999999998</v>
      </c>
      <c r="AD67" s="4" t="s">
        <v>584</v>
      </c>
      <c r="AF67" s="1" t="s">
        <v>711</v>
      </c>
      <c r="AG67" s="1" t="s">
        <v>707</v>
      </c>
      <c r="AL67" s="1" t="s">
        <v>708</v>
      </c>
      <c r="AM67" s="99">
        <v>45222</v>
      </c>
      <c r="AP67" s="2">
        <v>2</v>
      </c>
      <c r="AQ67" s="4">
        <v>80.302000000000007</v>
      </c>
      <c r="AR67" s="4" t="str">
        <f>IF(ISNA(MATCH($BA67,planas!$BA:$BA,0)),"ne","taip")</f>
        <v>ne</v>
      </c>
      <c r="BA67" s="1" t="s">
        <v>381</v>
      </c>
      <c r="BB67" s="1">
        <f>MOD(SUMPRODUCT(--($T$1:$T66&lt;&gt;$T$2:$T67)),2)</f>
        <v>0</v>
      </c>
    </row>
    <row r="68" spans="1:54" ht="14.4" hidden="1" x14ac:dyDescent="0.3">
      <c r="A68" s="1" t="s">
        <v>294</v>
      </c>
      <c r="B68" s="124" t="s">
        <v>203</v>
      </c>
      <c r="C68" s="1" t="s">
        <v>56</v>
      </c>
      <c r="D68" s="1">
        <v>4</v>
      </c>
      <c r="E68" s="2">
        <v>2920.0070000000001</v>
      </c>
      <c r="F68" s="2">
        <v>4560</v>
      </c>
      <c r="G68" s="2">
        <v>200.04</v>
      </c>
      <c r="H68" s="2">
        <v>6370.73</v>
      </c>
      <c r="J68" s="1">
        <v>12260</v>
      </c>
      <c r="L68" s="3" t="s">
        <v>753</v>
      </c>
      <c r="M68" s="115">
        <v>45257</v>
      </c>
      <c r="V68" s="4">
        <v>13.32</v>
      </c>
      <c r="W68" s="4">
        <v>2.5920000000000001</v>
      </c>
      <c r="AD68" s="4" t="s">
        <v>277</v>
      </c>
      <c r="AF68" s="1" t="s">
        <v>712</v>
      </c>
      <c r="AG68" s="1" t="s">
        <v>706</v>
      </c>
      <c r="AL68" s="1" t="s">
        <v>708</v>
      </c>
      <c r="AM68" s="99">
        <v>45258</v>
      </c>
      <c r="AQ68" s="4">
        <v>45.067999999999998</v>
      </c>
      <c r="AR68" s="4" t="str">
        <f>IF(ISNA(MATCH($BA68,planas!$BA:$BA,0)),"ne","taip")</f>
        <v>ne</v>
      </c>
      <c r="BA68" s="1" t="s">
        <v>475</v>
      </c>
      <c r="BB68" s="1">
        <f>MOD(SUMPRODUCT(--($T$1:$T67&lt;&gt;$T$2:$T68)),2)</f>
        <v>0</v>
      </c>
    </row>
    <row r="69" spans="1:54" ht="14.4" hidden="1" x14ac:dyDescent="0.3">
      <c r="A69" s="1" t="s">
        <v>294</v>
      </c>
      <c r="B69" s="124" t="s">
        <v>307</v>
      </c>
      <c r="C69" s="1" t="s">
        <v>57</v>
      </c>
      <c r="D69" s="1">
        <v>2</v>
      </c>
      <c r="E69" s="2">
        <v>3280.0010000000002</v>
      </c>
      <c r="F69" s="2">
        <v>8414.9989999999998</v>
      </c>
      <c r="G69" s="2">
        <v>595.03200000000004</v>
      </c>
      <c r="H69" s="2">
        <v>10403.700000000001</v>
      </c>
      <c r="J69" s="1">
        <v>9770</v>
      </c>
      <c r="L69" s="3" t="s">
        <v>348</v>
      </c>
      <c r="M69" s="115">
        <v>45243</v>
      </c>
      <c r="V69" s="4">
        <v>27.6</v>
      </c>
      <c r="W69" s="4">
        <v>4.1100000000000003</v>
      </c>
      <c r="AD69" s="4" t="s">
        <v>584</v>
      </c>
      <c r="AF69" s="1" t="s">
        <v>706</v>
      </c>
      <c r="AG69" s="1" t="s">
        <v>713</v>
      </c>
      <c r="AL69" s="1" t="s">
        <v>280</v>
      </c>
      <c r="AM69" s="99">
        <v>45244</v>
      </c>
      <c r="AP69" s="2">
        <v>1</v>
      </c>
      <c r="AQ69" s="4">
        <v>55.100999999999999</v>
      </c>
      <c r="AR69" s="4" t="str">
        <f>IF(ISNA(MATCH($BA69,planas!$BA:$BA,0)),"ne","taip")</f>
        <v>ne</v>
      </c>
      <c r="BA69" s="1" t="s">
        <v>603</v>
      </c>
      <c r="BB69" s="1">
        <f>MOD(SUMPRODUCT(--($T$1:$T68&lt;&gt;$T$2:$T69)),2)</f>
        <v>0</v>
      </c>
    </row>
    <row r="70" spans="1:54" ht="14.4" hidden="1" x14ac:dyDescent="0.3">
      <c r="A70" s="1" t="s">
        <v>294</v>
      </c>
      <c r="B70" s="124" t="s">
        <v>378</v>
      </c>
      <c r="C70" s="1" t="s">
        <v>57</v>
      </c>
      <c r="D70" s="1">
        <v>2</v>
      </c>
      <c r="E70" s="2">
        <v>3130.0030000000002</v>
      </c>
      <c r="F70" s="2">
        <v>7775.0510000000004</v>
      </c>
      <c r="G70" s="2">
        <v>595.03</v>
      </c>
      <c r="H70" s="2">
        <v>9692.66</v>
      </c>
      <c r="J70" s="1">
        <v>7160</v>
      </c>
      <c r="L70" s="3" t="s">
        <v>348</v>
      </c>
      <c r="M70" s="115">
        <v>45219</v>
      </c>
      <c r="V70" s="4">
        <v>24.34</v>
      </c>
      <c r="W70" s="4">
        <v>3.8</v>
      </c>
      <c r="AD70" s="4" t="s">
        <v>584</v>
      </c>
      <c r="AF70" s="1" t="s">
        <v>711</v>
      </c>
      <c r="AG70" s="1" t="s">
        <v>707</v>
      </c>
      <c r="AL70" s="1" t="s">
        <v>708</v>
      </c>
      <c r="AM70" s="99">
        <v>45222</v>
      </c>
      <c r="AP70" s="2">
        <v>2</v>
      </c>
      <c r="AQ70" s="4">
        <v>68.846999999999994</v>
      </c>
      <c r="AR70" s="4" t="str">
        <f>IF(ISNA(MATCH($BA70,planas!$BA:$BA,0)),"ne","taip")</f>
        <v>ne</v>
      </c>
      <c r="BA70" s="1" t="s">
        <v>377</v>
      </c>
      <c r="BB70" s="1">
        <f>MOD(SUMPRODUCT(--($T$1:$T69&lt;&gt;$T$2:$T70)),2)</f>
        <v>0</v>
      </c>
    </row>
    <row r="71" spans="1:54" ht="14.4" hidden="1" x14ac:dyDescent="0.3">
      <c r="A71" s="1" t="s">
        <v>294</v>
      </c>
      <c r="B71" s="124" t="s">
        <v>225</v>
      </c>
      <c r="C71" s="1" t="s">
        <v>56</v>
      </c>
      <c r="D71" s="1">
        <v>1</v>
      </c>
      <c r="E71" s="2">
        <v>3420.0070000000001</v>
      </c>
      <c r="F71" s="2">
        <v>3845</v>
      </c>
      <c r="G71" s="2">
        <v>200.00299999999999</v>
      </c>
      <c r="H71" s="2">
        <v>6344.81</v>
      </c>
      <c r="J71" s="1">
        <v>14490</v>
      </c>
      <c r="L71" s="3" t="s">
        <v>753</v>
      </c>
      <c r="M71" s="115">
        <v>45271</v>
      </c>
      <c r="V71" s="4">
        <v>13.15</v>
      </c>
      <c r="W71" s="4">
        <v>2.5840000000000001</v>
      </c>
      <c r="AD71" s="4" t="s">
        <v>277</v>
      </c>
      <c r="AF71" s="1" t="s">
        <v>710</v>
      </c>
      <c r="AG71" s="1" t="s">
        <v>710</v>
      </c>
      <c r="AL71" s="1" t="s">
        <v>708</v>
      </c>
      <c r="AM71" s="99">
        <v>45272</v>
      </c>
      <c r="AQ71" s="4">
        <v>36.496000000000002</v>
      </c>
      <c r="AR71" s="4" t="str">
        <f>IF(ISNA(MATCH($BA71,planas!$BA:$BA,0)),"ne","taip")</f>
        <v>ne</v>
      </c>
      <c r="BA71" s="1" t="s">
        <v>641</v>
      </c>
      <c r="BB71" s="1">
        <f>MOD(SUMPRODUCT(--($T$1:$T70&lt;&gt;$T$2:$T71)),2)</f>
        <v>0</v>
      </c>
    </row>
    <row r="72" spans="1:54" ht="14.4" hidden="1" x14ac:dyDescent="0.3">
      <c r="A72" s="1" t="s">
        <v>294</v>
      </c>
      <c r="B72" s="124" t="s">
        <v>136</v>
      </c>
      <c r="C72" s="1" t="s">
        <v>56</v>
      </c>
      <c r="D72" s="1">
        <v>1</v>
      </c>
      <c r="E72" s="2">
        <v>2920.0070000000001</v>
      </c>
      <c r="F72" s="2">
        <v>4560</v>
      </c>
      <c r="G72" s="2">
        <v>200.04</v>
      </c>
      <c r="H72" s="2">
        <v>6459.56</v>
      </c>
      <c r="J72" s="1">
        <v>15490</v>
      </c>
      <c r="L72" s="3" t="s">
        <v>753</v>
      </c>
      <c r="M72" s="115">
        <v>45278</v>
      </c>
      <c r="V72" s="4">
        <v>13.32</v>
      </c>
      <c r="W72" s="4">
        <v>2.637</v>
      </c>
      <c r="AD72" s="4" t="s">
        <v>277</v>
      </c>
      <c r="AF72" s="1" t="s">
        <v>710</v>
      </c>
      <c r="AG72" s="1" t="s">
        <v>707</v>
      </c>
      <c r="AL72" s="1" t="s">
        <v>708</v>
      </c>
      <c r="AM72" s="99">
        <v>45279</v>
      </c>
      <c r="AQ72" s="4">
        <v>31.279</v>
      </c>
      <c r="AR72" s="4" t="str">
        <f>IF(ISNA(MATCH($BA72,planas!$BA:$BA,0)),"ne","taip")</f>
        <v>ne</v>
      </c>
      <c r="BA72" s="1" t="s">
        <v>672</v>
      </c>
      <c r="BB72" s="1">
        <f>MOD(SUMPRODUCT(--($T$1:$T71&lt;&gt;$T$2:$T72)),2)</f>
        <v>0</v>
      </c>
    </row>
    <row r="73" spans="1:54" ht="14.4" hidden="1" x14ac:dyDescent="0.3">
      <c r="A73" s="1" t="s">
        <v>294</v>
      </c>
      <c r="B73" s="124" t="s">
        <v>138</v>
      </c>
      <c r="C73" s="1" t="s">
        <v>56</v>
      </c>
      <c r="D73" s="1">
        <v>4</v>
      </c>
      <c r="E73" s="2">
        <v>3130.0070000000001</v>
      </c>
      <c r="F73" s="2">
        <v>4230</v>
      </c>
      <c r="G73" s="2">
        <v>200.03700000000001</v>
      </c>
      <c r="H73" s="2">
        <v>5199.1400000000003</v>
      </c>
      <c r="J73" s="1">
        <v>9930</v>
      </c>
      <c r="L73" s="3" t="s">
        <v>753</v>
      </c>
      <c r="M73" s="115">
        <v>45244</v>
      </c>
      <c r="V73" s="4">
        <v>13.24</v>
      </c>
      <c r="W73" s="4">
        <v>2.113</v>
      </c>
      <c r="AD73" s="4" t="s">
        <v>277</v>
      </c>
      <c r="AF73" s="1" t="s">
        <v>706</v>
      </c>
      <c r="AG73" s="1" t="s">
        <v>713</v>
      </c>
      <c r="AL73" s="1" t="s">
        <v>708</v>
      </c>
      <c r="AM73" s="99">
        <v>45245</v>
      </c>
      <c r="AQ73" s="4">
        <v>33.323</v>
      </c>
      <c r="AR73" s="4" t="str">
        <f>IF(ISNA(MATCH($BA73,planas!$BA:$BA,0)),"ne","taip")</f>
        <v>ne</v>
      </c>
      <c r="BA73" s="1" t="s">
        <v>421</v>
      </c>
      <c r="BB73" s="1">
        <f>MOD(SUMPRODUCT(--($T$1:$T72&lt;&gt;$T$2:$T73)),2)</f>
        <v>0</v>
      </c>
    </row>
    <row r="74" spans="1:54" ht="14.4" x14ac:dyDescent="0.3">
      <c r="A74" s="1" t="s">
        <v>294</v>
      </c>
      <c r="B74" s="124" t="s">
        <v>272</v>
      </c>
      <c r="C74" s="1" t="s">
        <v>56</v>
      </c>
      <c r="D74" s="1">
        <v>1</v>
      </c>
      <c r="E74" s="2">
        <v>3400.0070000000001</v>
      </c>
      <c r="F74" s="2">
        <v>2460</v>
      </c>
      <c r="G74" s="2">
        <v>200.00299999999999</v>
      </c>
      <c r="H74" s="2">
        <v>3964.14</v>
      </c>
      <c r="J74" s="1">
        <v>6290</v>
      </c>
      <c r="K74" s="3">
        <v>45159</v>
      </c>
      <c r="L74" s="3" t="s">
        <v>753</v>
      </c>
      <c r="M74" s="115">
        <v>45215</v>
      </c>
      <c r="V74" s="4">
        <v>8.36</v>
      </c>
      <c r="W74" s="4">
        <v>1.61</v>
      </c>
      <c r="AC74" s="1">
        <v>2</v>
      </c>
      <c r="AD74" s="4" t="s">
        <v>277</v>
      </c>
      <c r="AF74" s="1" t="s">
        <v>711</v>
      </c>
      <c r="AG74" s="1" t="s">
        <v>710</v>
      </c>
      <c r="AL74" s="1" t="s">
        <v>708</v>
      </c>
      <c r="AM74" s="99">
        <v>45216</v>
      </c>
      <c r="AQ74" s="4">
        <v>33.018999999999998</v>
      </c>
      <c r="AR74" s="4" t="str">
        <f>IF(ISNA(MATCH($BA74,planas!$BA:$BA,0)),"ne","taip")</f>
        <v>ne</v>
      </c>
      <c r="BA74" s="1" t="s">
        <v>759</v>
      </c>
      <c r="BB74" s="1">
        <f>MOD(SUMPRODUCT(--($T$1:$T73&lt;&gt;$T$2:$T74)),2)</f>
        <v>0</v>
      </c>
    </row>
    <row r="75" spans="1:54" ht="14.4" hidden="1" x14ac:dyDescent="0.3">
      <c r="A75" s="1" t="s">
        <v>294</v>
      </c>
      <c r="B75" s="124" t="s">
        <v>208</v>
      </c>
      <c r="C75" s="1" t="s">
        <v>56</v>
      </c>
      <c r="D75" s="1">
        <v>3</v>
      </c>
      <c r="E75" s="2">
        <v>3130.0010000000002</v>
      </c>
      <c r="F75" s="2">
        <v>3804.9989999999998</v>
      </c>
      <c r="G75" s="2">
        <v>200.023</v>
      </c>
      <c r="H75" s="2">
        <v>4684.5</v>
      </c>
      <c r="J75" s="1">
        <v>13340</v>
      </c>
      <c r="L75" s="3" t="s">
        <v>753</v>
      </c>
      <c r="M75" s="115">
        <v>45264</v>
      </c>
      <c r="V75" s="4">
        <v>11.91</v>
      </c>
      <c r="W75" s="4">
        <v>1.9039999999999999</v>
      </c>
      <c r="AD75" s="4" t="s">
        <v>277</v>
      </c>
      <c r="AF75" s="1" t="s">
        <v>710</v>
      </c>
      <c r="AG75" s="1" t="s">
        <v>712</v>
      </c>
      <c r="AL75" s="1" t="s">
        <v>708</v>
      </c>
      <c r="AM75" s="99">
        <v>45265</v>
      </c>
      <c r="AP75" s="2">
        <v>1</v>
      </c>
      <c r="AQ75" s="4">
        <v>21.984000000000002</v>
      </c>
      <c r="AR75" s="4" t="str">
        <f>IF(ISNA(MATCH($BA75,planas!$BA:$BA,0)),"ne","taip")</f>
        <v>ne</v>
      </c>
      <c r="BA75" s="1" t="s">
        <v>440</v>
      </c>
      <c r="BB75" s="1">
        <f>MOD(SUMPRODUCT(--($T$1:$T74&lt;&gt;$T$2:$T75)),2)</f>
        <v>0</v>
      </c>
    </row>
    <row r="76" spans="1:54" ht="14.4" hidden="1" x14ac:dyDescent="0.3">
      <c r="A76" s="1" t="s">
        <v>294</v>
      </c>
      <c r="B76" s="124" t="s">
        <v>380</v>
      </c>
      <c r="C76" s="1" t="s">
        <v>56</v>
      </c>
      <c r="D76" s="1">
        <v>1</v>
      </c>
      <c r="E76" s="2">
        <v>1110</v>
      </c>
      <c r="F76" s="2">
        <v>6056.0029999999997</v>
      </c>
      <c r="G76" s="2">
        <v>140</v>
      </c>
      <c r="H76" s="2">
        <v>2312.12</v>
      </c>
      <c r="J76" s="1">
        <v>15640</v>
      </c>
      <c r="L76" s="3" t="s">
        <v>278</v>
      </c>
      <c r="M76" s="115">
        <v>45278</v>
      </c>
      <c r="V76" s="4">
        <v>6.72</v>
      </c>
      <c r="W76" s="4">
        <v>0.93500000000000005</v>
      </c>
      <c r="AD76" s="4" t="s">
        <v>359</v>
      </c>
      <c r="AF76" s="1" t="s">
        <v>710</v>
      </c>
      <c r="AG76" s="1" t="s">
        <v>707</v>
      </c>
      <c r="AL76" s="1" t="s">
        <v>708</v>
      </c>
      <c r="AM76" s="99">
        <v>45279</v>
      </c>
      <c r="AQ76" s="4">
        <v>19.911000000000001</v>
      </c>
      <c r="AR76" s="4" t="str">
        <f>IF(ISNA(MATCH($BA76,planas!$BA:$BA,0)),"ne","taip")</f>
        <v>ne</v>
      </c>
      <c r="BA76" s="1" t="s">
        <v>664</v>
      </c>
      <c r="BB76" s="1">
        <f>MOD(SUMPRODUCT(--($T$1:$T75&lt;&gt;$T$2:$T76)),2)</f>
        <v>0</v>
      </c>
    </row>
    <row r="77" spans="1:54" ht="14.4" hidden="1" x14ac:dyDescent="0.3">
      <c r="A77" s="1" t="s">
        <v>294</v>
      </c>
      <c r="B77" s="124" t="s">
        <v>300</v>
      </c>
      <c r="C77" s="1" t="s">
        <v>57</v>
      </c>
      <c r="D77" s="1">
        <v>2</v>
      </c>
      <c r="E77" s="2">
        <v>3280.0070000000001</v>
      </c>
      <c r="F77" s="2">
        <v>6050.0559999999996</v>
      </c>
      <c r="G77" s="2">
        <v>595</v>
      </c>
      <c r="H77" s="2">
        <v>8124.31</v>
      </c>
      <c r="J77" s="1">
        <v>9830</v>
      </c>
      <c r="L77" s="3" t="s">
        <v>348</v>
      </c>
      <c r="M77" s="115">
        <v>45243</v>
      </c>
      <c r="V77" s="4">
        <v>19.84</v>
      </c>
      <c r="W77" s="4">
        <v>3.2040000000000002</v>
      </c>
      <c r="AD77" s="4" t="s">
        <v>584</v>
      </c>
      <c r="AF77" s="1" t="s">
        <v>706</v>
      </c>
      <c r="AG77" s="1" t="s">
        <v>713</v>
      </c>
      <c r="AL77" s="1" t="s">
        <v>708</v>
      </c>
      <c r="AM77" s="99">
        <v>45244</v>
      </c>
      <c r="AP77" s="2">
        <v>2</v>
      </c>
      <c r="AQ77" s="4">
        <v>55.243000000000002</v>
      </c>
      <c r="AR77" s="4" t="str">
        <f>IF(ISNA(MATCH($BA77,planas!$BA:$BA,0)),"ne","taip")</f>
        <v>ne</v>
      </c>
      <c r="BA77" s="1" t="s">
        <v>604</v>
      </c>
      <c r="BB77" s="1">
        <f>MOD(SUMPRODUCT(--($T$1:$T76&lt;&gt;$T$2:$T77)),2)</f>
        <v>0</v>
      </c>
    </row>
    <row r="78" spans="1:54" ht="14.4" hidden="1" x14ac:dyDescent="0.3">
      <c r="A78" s="1" t="s">
        <v>294</v>
      </c>
      <c r="B78" s="124" t="s">
        <v>352</v>
      </c>
      <c r="C78" s="1" t="s">
        <v>57</v>
      </c>
      <c r="D78" s="1">
        <v>2</v>
      </c>
      <c r="E78" s="2">
        <v>3280.0210000000002</v>
      </c>
      <c r="F78" s="2">
        <v>7260.0039999999999</v>
      </c>
      <c r="G78" s="2">
        <v>595.01099999999997</v>
      </c>
      <c r="H78" s="2">
        <v>11182.31</v>
      </c>
      <c r="J78" s="1">
        <v>9700</v>
      </c>
      <c r="L78" s="3" t="s">
        <v>348</v>
      </c>
      <c r="M78" s="115">
        <v>45243</v>
      </c>
      <c r="V78" s="4">
        <v>23.81</v>
      </c>
      <c r="W78" s="4">
        <v>4.4109999999999996</v>
      </c>
      <c r="AD78" s="4" t="s">
        <v>584</v>
      </c>
      <c r="AF78" s="1" t="s">
        <v>706</v>
      </c>
      <c r="AG78" s="1" t="s">
        <v>713</v>
      </c>
      <c r="AL78" s="1" t="s">
        <v>708</v>
      </c>
      <c r="AM78" s="99">
        <v>45244</v>
      </c>
      <c r="AP78" s="2">
        <v>2</v>
      </c>
      <c r="AQ78" s="4">
        <v>31.504999999999999</v>
      </c>
      <c r="AR78" s="4" t="str">
        <f>IF(ISNA(MATCH($BA78,planas!$BA:$BA,0)),"ne","taip")</f>
        <v>ne</v>
      </c>
      <c r="BA78" s="1" t="s">
        <v>568</v>
      </c>
      <c r="BB78" s="1">
        <f>MOD(SUMPRODUCT(--($T$1:$T77&lt;&gt;$T$2:$T78)),2)</f>
        <v>0</v>
      </c>
    </row>
    <row r="79" spans="1:54" ht="14.4" hidden="1" x14ac:dyDescent="0.3">
      <c r="A79" s="1" t="s">
        <v>294</v>
      </c>
      <c r="B79" s="124" t="s">
        <v>154</v>
      </c>
      <c r="C79" s="1" t="s">
        <v>56</v>
      </c>
      <c r="D79" s="1">
        <v>1</v>
      </c>
      <c r="E79" s="2">
        <v>360</v>
      </c>
      <c r="F79" s="2">
        <v>2200</v>
      </c>
      <c r="G79" s="2">
        <v>200</v>
      </c>
      <c r="H79" s="2">
        <v>385.14</v>
      </c>
      <c r="J79" s="1">
        <v>16100</v>
      </c>
      <c r="L79" s="3" t="s">
        <v>753</v>
      </c>
      <c r="M79" s="115">
        <v>45282</v>
      </c>
      <c r="V79" s="4">
        <v>0.79</v>
      </c>
      <c r="W79" s="4">
        <v>0.156</v>
      </c>
      <c r="AD79" s="4" t="s">
        <v>277</v>
      </c>
      <c r="AF79" s="1" t="s">
        <v>710</v>
      </c>
      <c r="AG79" s="1" t="s">
        <v>709</v>
      </c>
      <c r="AL79" s="1" t="s">
        <v>708</v>
      </c>
      <c r="AM79" s="99">
        <v>45287</v>
      </c>
      <c r="AP79" s="2">
        <v>1</v>
      </c>
      <c r="AQ79" s="4">
        <v>0.48199999999999998</v>
      </c>
      <c r="AR79" s="4" t="str">
        <f>IF(ISNA(MATCH($BA79,planas!$BA:$BA,0)),"ne","taip")</f>
        <v>ne</v>
      </c>
      <c r="BA79" s="1" t="s">
        <v>500</v>
      </c>
      <c r="BB79" s="1">
        <f>MOD(SUMPRODUCT(--($T$1:$T78&lt;&gt;$T$2:$T79)),2)</f>
        <v>0</v>
      </c>
    </row>
    <row r="80" spans="1:54" ht="14.4" hidden="1" x14ac:dyDescent="0.3">
      <c r="A80" s="1" t="s">
        <v>294</v>
      </c>
      <c r="B80" s="124" t="s">
        <v>155</v>
      </c>
      <c r="C80" s="1" t="s">
        <v>56</v>
      </c>
      <c r="D80" s="1">
        <v>4</v>
      </c>
      <c r="E80" s="2">
        <v>2920.0059999999999</v>
      </c>
      <c r="F80" s="2">
        <v>1781</v>
      </c>
      <c r="G80" s="2">
        <v>200.00399999999999</v>
      </c>
      <c r="H80" s="2">
        <v>2529.29</v>
      </c>
      <c r="J80" s="1">
        <v>10040</v>
      </c>
      <c r="L80" s="3" t="s">
        <v>278</v>
      </c>
      <c r="M80" s="115">
        <v>45244</v>
      </c>
      <c r="V80" s="4">
        <v>5.2</v>
      </c>
      <c r="W80" s="4">
        <v>1.0329999999999999</v>
      </c>
      <c r="AD80" s="4" t="s">
        <v>277</v>
      </c>
      <c r="AF80" s="1" t="s">
        <v>706</v>
      </c>
      <c r="AG80" s="1" t="s">
        <v>713</v>
      </c>
      <c r="AL80" s="1" t="s">
        <v>708</v>
      </c>
      <c r="AM80" s="99">
        <v>45245</v>
      </c>
      <c r="AQ80" s="4">
        <v>5.9859999999999998</v>
      </c>
      <c r="AR80" s="4" t="str">
        <f>IF(ISNA(MATCH($BA80,planas!$BA:$BA,0)),"ne","taip")</f>
        <v>ne</v>
      </c>
      <c r="BA80" s="1" t="s">
        <v>435</v>
      </c>
      <c r="BB80" s="1">
        <f>MOD(SUMPRODUCT(--($T$1:$T79&lt;&gt;$T$2:$T80)),2)</f>
        <v>0</v>
      </c>
    </row>
    <row r="81" spans="1:54" ht="14.4" hidden="1" x14ac:dyDescent="0.3">
      <c r="A81" s="1" t="s">
        <v>294</v>
      </c>
      <c r="B81" s="124" t="s">
        <v>205</v>
      </c>
      <c r="C81" s="1" t="s">
        <v>56</v>
      </c>
      <c r="D81" s="1">
        <v>4</v>
      </c>
      <c r="E81" s="2">
        <v>3130.0070000000001</v>
      </c>
      <c r="F81" s="2">
        <v>2081.0010000000002</v>
      </c>
      <c r="G81" s="2">
        <v>200.00399999999999</v>
      </c>
      <c r="H81" s="2">
        <v>3124.13</v>
      </c>
      <c r="J81" s="1">
        <v>9910</v>
      </c>
      <c r="L81" s="3" t="s">
        <v>278</v>
      </c>
      <c r="M81" s="115">
        <v>45244</v>
      </c>
      <c r="V81" s="4">
        <v>6.51</v>
      </c>
      <c r="W81" s="4">
        <v>1.272</v>
      </c>
      <c r="AD81" s="4" t="s">
        <v>277</v>
      </c>
      <c r="AF81" s="1" t="s">
        <v>706</v>
      </c>
      <c r="AG81" s="1" t="s">
        <v>713</v>
      </c>
      <c r="AL81" s="1" t="s">
        <v>708</v>
      </c>
      <c r="AM81" s="99">
        <v>45245</v>
      </c>
      <c r="AQ81" s="4">
        <v>20.077999999999999</v>
      </c>
      <c r="AR81" s="4" t="str">
        <f>IF(ISNA(MATCH($BA81,planas!$BA:$BA,0)),"ne","taip")</f>
        <v>ne</v>
      </c>
      <c r="BA81" s="1" t="s">
        <v>390</v>
      </c>
      <c r="BB81" s="1">
        <f>MOD(SUMPRODUCT(--($T$1:$T80&lt;&gt;$T$2:$T81)),2)</f>
        <v>0</v>
      </c>
    </row>
    <row r="82" spans="1:54" ht="14.4" hidden="1" x14ac:dyDescent="0.3">
      <c r="A82" s="1" t="s">
        <v>294</v>
      </c>
      <c r="B82" s="124" t="s">
        <v>373</v>
      </c>
      <c r="C82" s="1" t="s">
        <v>56</v>
      </c>
      <c r="D82" s="1">
        <v>1</v>
      </c>
      <c r="E82" s="2">
        <v>1110</v>
      </c>
      <c r="F82" s="2">
        <v>5135</v>
      </c>
      <c r="G82" s="2">
        <v>140</v>
      </c>
      <c r="H82" s="2">
        <v>1956.71</v>
      </c>
      <c r="J82" s="1">
        <v>15590</v>
      </c>
      <c r="L82" s="3" t="s">
        <v>753</v>
      </c>
      <c r="M82" s="115">
        <v>45278</v>
      </c>
      <c r="V82" s="4">
        <v>5.7</v>
      </c>
      <c r="W82" s="4">
        <v>0.79100000000000004</v>
      </c>
      <c r="AD82" s="4" t="s">
        <v>359</v>
      </c>
      <c r="AF82" s="1" t="s">
        <v>710</v>
      </c>
      <c r="AG82" s="1" t="s">
        <v>707</v>
      </c>
      <c r="AL82" s="1" t="s">
        <v>708</v>
      </c>
      <c r="AM82" s="99">
        <v>45279</v>
      </c>
      <c r="AQ82" s="4">
        <v>17.167999999999999</v>
      </c>
      <c r="AR82" s="4" t="str">
        <f>IF(ISNA(MATCH($BA82,planas!$BA:$BA,0)),"ne","taip")</f>
        <v>ne</v>
      </c>
      <c r="BA82" s="1" t="s">
        <v>663</v>
      </c>
      <c r="BB82" s="1">
        <f>MOD(SUMPRODUCT(--($T$1:$T81&lt;&gt;$T$2:$T82)),2)</f>
        <v>0</v>
      </c>
    </row>
    <row r="83" spans="1:54" ht="14.4" hidden="1" x14ac:dyDescent="0.3">
      <c r="A83" s="1" t="s">
        <v>294</v>
      </c>
      <c r="B83" s="124" t="s">
        <v>198</v>
      </c>
      <c r="C83" s="1" t="s">
        <v>56</v>
      </c>
      <c r="D83" s="1">
        <v>1</v>
      </c>
      <c r="E83" s="2">
        <v>3130.0010000000002</v>
      </c>
      <c r="F83" s="2">
        <v>5481.0010000000002</v>
      </c>
      <c r="G83" s="2">
        <v>200.02500000000001</v>
      </c>
      <c r="H83" s="2">
        <v>7200.2</v>
      </c>
      <c r="J83" s="1">
        <v>10020</v>
      </c>
      <c r="L83" s="3" t="s">
        <v>278</v>
      </c>
      <c r="M83" s="115">
        <v>45244</v>
      </c>
      <c r="V83" s="4">
        <v>17.16</v>
      </c>
      <c r="W83" s="4">
        <v>2.931</v>
      </c>
      <c r="AD83" s="4" t="s">
        <v>277</v>
      </c>
      <c r="AF83" s="1" t="s">
        <v>706</v>
      </c>
      <c r="AG83" s="1" t="s">
        <v>713</v>
      </c>
      <c r="AL83" s="1" t="s">
        <v>708</v>
      </c>
      <c r="AM83" s="99">
        <v>45245</v>
      </c>
      <c r="AQ83" s="4">
        <v>29.562000000000001</v>
      </c>
      <c r="AR83" s="4" t="str">
        <f>IF(ISNA(MATCH($BA83,planas!$BA:$BA,0)),"ne","taip")</f>
        <v>ne</v>
      </c>
      <c r="BA83" s="1" t="s">
        <v>406</v>
      </c>
      <c r="BB83" s="1">
        <f>MOD(SUMPRODUCT(--($T$1:$T82&lt;&gt;$T$2:$T83)),2)</f>
        <v>0</v>
      </c>
    </row>
    <row r="84" spans="1:54" ht="14.4" hidden="1" x14ac:dyDescent="0.3">
      <c r="A84" s="1" t="s">
        <v>294</v>
      </c>
      <c r="B84" s="124" t="s">
        <v>547</v>
      </c>
      <c r="C84" s="1" t="s">
        <v>57</v>
      </c>
      <c r="D84" s="1">
        <v>1</v>
      </c>
      <c r="E84" s="2">
        <v>3270.0079999999998</v>
      </c>
      <c r="F84" s="2">
        <v>3094.9690000000001</v>
      </c>
      <c r="G84" s="2">
        <v>595</v>
      </c>
      <c r="H84" s="2">
        <v>4285.3599999999997</v>
      </c>
      <c r="J84" s="1">
        <v>8610</v>
      </c>
      <c r="L84" s="3" t="s">
        <v>349</v>
      </c>
      <c r="M84" s="115">
        <v>45233</v>
      </c>
      <c r="V84" s="4">
        <v>10.119999999999999</v>
      </c>
      <c r="W84" s="4">
        <v>1.69</v>
      </c>
      <c r="AD84" s="4" t="s">
        <v>584</v>
      </c>
      <c r="AF84" s="1" t="s">
        <v>706</v>
      </c>
      <c r="AG84" s="1" t="s">
        <v>755</v>
      </c>
      <c r="AL84" s="1" t="s">
        <v>708</v>
      </c>
      <c r="AM84" s="99">
        <v>45236</v>
      </c>
      <c r="AQ84" s="4">
        <v>26.812000000000001</v>
      </c>
      <c r="AR84" s="4" t="str">
        <f>IF(ISNA(MATCH($BA84,planas!$BA:$BA,0)),"ne","taip")</f>
        <v>ne</v>
      </c>
      <c r="BA84" s="1" t="s">
        <v>546</v>
      </c>
      <c r="BB84" s="1">
        <f>MOD(SUMPRODUCT(--($T$1:$T83&lt;&gt;$T$2:$T84)),2)</f>
        <v>0</v>
      </c>
    </row>
    <row r="85" spans="1:54" ht="14.4" hidden="1" x14ac:dyDescent="0.3">
      <c r="A85" s="1" t="s">
        <v>294</v>
      </c>
      <c r="B85" s="124" t="s">
        <v>340</v>
      </c>
      <c r="C85" s="1" t="s">
        <v>57</v>
      </c>
      <c r="D85" s="1">
        <v>2</v>
      </c>
      <c r="E85" s="2">
        <v>3130.011</v>
      </c>
      <c r="F85" s="2">
        <v>3094.9670000000001</v>
      </c>
      <c r="G85" s="2">
        <v>594.99900000000002</v>
      </c>
      <c r="H85" s="2">
        <v>4047.91</v>
      </c>
      <c r="J85" s="1">
        <v>15340</v>
      </c>
      <c r="L85" s="3" t="s">
        <v>349</v>
      </c>
      <c r="M85" s="115">
        <v>45275</v>
      </c>
      <c r="V85" s="4">
        <v>9.69</v>
      </c>
      <c r="W85" s="4">
        <v>1.5980000000000001</v>
      </c>
      <c r="AD85" s="4" t="s">
        <v>584</v>
      </c>
      <c r="AF85" s="1" t="s">
        <v>710</v>
      </c>
      <c r="AG85" s="1" t="s">
        <v>707</v>
      </c>
      <c r="AL85" s="1" t="s">
        <v>708</v>
      </c>
      <c r="AM85" s="99">
        <v>45278</v>
      </c>
      <c r="AQ85" s="4">
        <v>26.614000000000001</v>
      </c>
      <c r="AR85" s="4" t="str">
        <f>IF(ISNA(MATCH($BA85,planas!$BA:$BA,0)),"ne","taip")</f>
        <v>ne</v>
      </c>
      <c r="BA85" s="1" t="s">
        <v>651</v>
      </c>
      <c r="BB85" s="1">
        <f>MOD(SUMPRODUCT(--($T$1:$T84&lt;&gt;$T$2:$T85)),2)</f>
        <v>0</v>
      </c>
    </row>
    <row r="86" spans="1:54" ht="14.4" hidden="1" x14ac:dyDescent="0.3">
      <c r="A86" s="1" t="s">
        <v>294</v>
      </c>
      <c r="B86" s="124" t="s">
        <v>187</v>
      </c>
      <c r="C86" s="1" t="s">
        <v>56</v>
      </c>
      <c r="D86" s="1">
        <v>4</v>
      </c>
      <c r="E86" s="2">
        <v>2920.0070000000001</v>
      </c>
      <c r="F86" s="2">
        <v>4145</v>
      </c>
      <c r="G86" s="2">
        <v>200.00299999999999</v>
      </c>
      <c r="H86" s="2">
        <v>5884.73</v>
      </c>
      <c r="J86" s="1">
        <v>9960</v>
      </c>
      <c r="L86" s="3" t="s">
        <v>753</v>
      </c>
      <c r="M86" s="115">
        <v>45244</v>
      </c>
      <c r="V86" s="4">
        <v>12.1</v>
      </c>
      <c r="W86" s="4">
        <v>2.4060000000000001</v>
      </c>
      <c r="AD86" s="4" t="s">
        <v>277</v>
      </c>
      <c r="AF86" s="1" t="s">
        <v>706</v>
      </c>
      <c r="AG86" s="1" t="s">
        <v>713</v>
      </c>
      <c r="AL86" s="1" t="s">
        <v>708</v>
      </c>
      <c r="AM86" s="99">
        <v>45245</v>
      </c>
      <c r="AQ86" s="4">
        <v>16.251000000000001</v>
      </c>
      <c r="AR86" s="4" t="str">
        <f>IF(ISNA(MATCH($BA86,planas!$BA:$BA,0)),"ne","taip")</f>
        <v>ne</v>
      </c>
      <c r="BA86" s="1" t="s">
        <v>485</v>
      </c>
      <c r="BB86" s="1">
        <f>MOD(SUMPRODUCT(--($T$1:$T85&lt;&gt;$T$2:$T86)),2)</f>
        <v>0</v>
      </c>
    </row>
    <row r="87" spans="1:54" ht="14.4" hidden="1" x14ac:dyDescent="0.3">
      <c r="A87" s="1" t="s">
        <v>294</v>
      </c>
      <c r="B87" s="124" t="s">
        <v>254</v>
      </c>
      <c r="C87" s="1" t="s">
        <v>56</v>
      </c>
      <c r="D87" s="1">
        <v>4</v>
      </c>
      <c r="E87" s="2">
        <v>3130.0070000000001</v>
      </c>
      <c r="F87" s="2">
        <v>6180</v>
      </c>
      <c r="G87" s="2">
        <v>200.03700000000001</v>
      </c>
      <c r="H87" s="2">
        <v>8059.31</v>
      </c>
      <c r="J87" s="1">
        <v>9940</v>
      </c>
      <c r="L87" s="3" t="s">
        <v>753</v>
      </c>
      <c r="M87" s="115">
        <v>45244</v>
      </c>
      <c r="V87" s="4">
        <v>19.34</v>
      </c>
      <c r="W87" s="4">
        <v>3.2749999999999999</v>
      </c>
      <c r="AD87" s="4" t="s">
        <v>277</v>
      </c>
      <c r="AF87" s="1" t="s">
        <v>706</v>
      </c>
      <c r="AG87" s="1" t="s">
        <v>713</v>
      </c>
      <c r="AL87" s="1" t="s">
        <v>708</v>
      </c>
      <c r="AM87" s="99">
        <v>45245</v>
      </c>
      <c r="AQ87" s="4">
        <v>46.671999999999997</v>
      </c>
      <c r="AR87" s="4" t="str">
        <f>IF(ISNA(MATCH($BA87,planas!$BA:$BA,0)),"ne","taip")</f>
        <v>ne</v>
      </c>
      <c r="BA87" s="1" t="s">
        <v>403</v>
      </c>
      <c r="BB87" s="1">
        <f>MOD(SUMPRODUCT(--($T$1:$T86&lt;&gt;$T$2:$T87)),2)</f>
        <v>0</v>
      </c>
    </row>
    <row r="88" spans="1:54" ht="14.4" hidden="1" x14ac:dyDescent="0.3">
      <c r="A88" s="1" t="s">
        <v>294</v>
      </c>
      <c r="B88" s="124" t="s">
        <v>325</v>
      </c>
      <c r="C88" s="1" t="s">
        <v>57</v>
      </c>
      <c r="D88" s="1">
        <v>2</v>
      </c>
      <c r="E88" s="2">
        <v>3280.0070000000001</v>
      </c>
      <c r="F88" s="2">
        <v>6410.0150000000003</v>
      </c>
      <c r="G88" s="2">
        <v>595.00900000000001</v>
      </c>
      <c r="H88" s="2">
        <v>7864.83</v>
      </c>
      <c r="J88" s="1">
        <v>9790</v>
      </c>
      <c r="L88" s="3" t="s">
        <v>349</v>
      </c>
      <c r="M88" s="115">
        <v>45243</v>
      </c>
      <c r="V88" s="4">
        <v>21.02</v>
      </c>
      <c r="W88" s="4">
        <v>3.0609999999999999</v>
      </c>
      <c r="AD88" s="4" t="s">
        <v>584</v>
      </c>
      <c r="AF88" s="1" t="s">
        <v>706</v>
      </c>
      <c r="AG88" s="1" t="s">
        <v>713</v>
      </c>
      <c r="AL88" s="1" t="s">
        <v>708</v>
      </c>
      <c r="AM88" s="99">
        <v>45244</v>
      </c>
      <c r="AP88" s="2">
        <v>2</v>
      </c>
      <c r="AQ88" s="4">
        <v>33.289000000000001</v>
      </c>
      <c r="AR88" s="4" t="str">
        <f>IF(ISNA(MATCH($BA88,planas!$BA:$BA,0)),"ne","taip")</f>
        <v>ne</v>
      </c>
      <c r="BA88" s="1" t="s">
        <v>554</v>
      </c>
      <c r="BB88" s="1">
        <f>MOD(SUMPRODUCT(--($T$1:$T87&lt;&gt;$T$2:$T88)),2)</f>
        <v>0</v>
      </c>
    </row>
    <row r="89" spans="1:54" ht="14.4" hidden="1" x14ac:dyDescent="0.3">
      <c r="A89" s="1" t="s">
        <v>294</v>
      </c>
      <c r="B89" s="124" t="s">
        <v>211</v>
      </c>
      <c r="C89" s="1" t="s">
        <v>56</v>
      </c>
      <c r="D89" s="1">
        <v>4</v>
      </c>
      <c r="E89" s="2">
        <v>3130</v>
      </c>
      <c r="F89" s="2">
        <v>1560</v>
      </c>
      <c r="G89" s="2">
        <v>200</v>
      </c>
      <c r="H89" s="2">
        <v>2369.6799999999998</v>
      </c>
      <c r="J89" s="1">
        <v>13460</v>
      </c>
      <c r="L89" s="3" t="s">
        <v>753</v>
      </c>
      <c r="M89" s="115">
        <v>45264</v>
      </c>
      <c r="V89" s="4">
        <v>4.88</v>
      </c>
      <c r="W89" s="4">
        <v>0.96899999999999997</v>
      </c>
      <c r="AD89" s="4" t="s">
        <v>277</v>
      </c>
      <c r="AF89" s="1" t="s">
        <v>710</v>
      </c>
      <c r="AG89" s="1" t="s">
        <v>712</v>
      </c>
      <c r="AL89" s="1" t="s">
        <v>708</v>
      </c>
      <c r="AM89" s="99">
        <v>45265</v>
      </c>
      <c r="AQ89" s="4">
        <v>5.7160000000000002</v>
      </c>
      <c r="AR89" s="4" t="str">
        <f>IF(ISNA(MATCH($BA89,planas!$BA:$BA,0)),"ne","taip")</f>
        <v>ne</v>
      </c>
      <c r="BA89" s="1" t="s">
        <v>392</v>
      </c>
      <c r="BB89" s="1">
        <f>MOD(SUMPRODUCT(--($T$1:$T88&lt;&gt;$T$2:$T89)),2)</f>
        <v>0</v>
      </c>
    </row>
    <row r="90" spans="1:54" ht="14.4" hidden="1" x14ac:dyDescent="0.3">
      <c r="A90" s="1" t="s">
        <v>294</v>
      </c>
      <c r="B90" s="124" t="s">
        <v>219</v>
      </c>
      <c r="C90" s="1" t="s">
        <v>56</v>
      </c>
      <c r="D90" s="1">
        <v>4</v>
      </c>
      <c r="E90" s="2">
        <v>3130.0230000000001</v>
      </c>
      <c r="F90" s="2">
        <v>5660.9970000000003</v>
      </c>
      <c r="G90" s="2">
        <v>400.00599999999997</v>
      </c>
      <c r="H90" s="2">
        <v>8373.59</v>
      </c>
      <c r="J90" s="1">
        <v>13400</v>
      </c>
      <c r="L90" s="3" t="s">
        <v>278</v>
      </c>
      <c r="M90" s="115">
        <v>45264</v>
      </c>
      <c r="V90" s="4">
        <v>17.72</v>
      </c>
      <c r="W90" s="4">
        <v>3.41</v>
      </c>
      <c r="AD90" s="4" t="s">
        <v>277</v>
      </c>
      <c r="AF90" s="1" t="s">
        <v>710</v>
      </c>
      <c r="AG90" s="1" t="s">
        <v>712</v>
      </c>
      <c r="AL90" s="1" t="s">
        <v>708</v>
      </c>
      <c r="AM90" s="99">
        <v>45265</v>
      </c>
      <c r="AP90" s="2">
        <v>1</v>
      </c>
      <c r="AQ90" s="4">
        <v>50.408999999999999</v>
      </c>
      <c r="AR90" s="4" t="str">
        <f>IF(ISNA(MATCH($BA90,planas!$BA:$BA,0)),"ne","taip")</f>
        <v>ne</v>
      </c>
      <c r="BA90" s="1" t="s">
        <v>415</v>
      </c>
      <c r="BB90" s="1">
        <f>MOD(SUMPRODUCT(--($T$1:$T89&lt;&gt;$T$2:$T90)),2)</f>
        <v>0</v>
      </c>
    </row>
    <row r="91" spans="1:54" ht="14.4" x14ac:dyDescent="0.3">
      <c r="A91" s="1" t="s">
        <v>294</v>
      </c>
      <c r="B91" s="124" t="s">
        <v>229</v>
      </c>
      <c r="C91" s="1" t="s">
        <v>56</v>
      </c>
      <c r="D91" s="1">
        <v>1</v>
      </c>
      <c r="E91" s="2">
        <v>3420.0070000000001</v>
      </c>
      <c r="F91" s="2">
        <v>4531</v>
      </c>
      <c r="G91" s="2">
        <v>200.03800000000001</v>
      </c>
      <c r="H91" s="2">
        <v>6032.18</v>
      </c>
      <c r="J91" s="1">
        <v>6210</v>
      </c>
      <c r="K91" s="3">
        <v>45159</v>
      </c>
      <c r="L91" s="3" t="s">
        <v>278</v>
      </c>
      <c r="M91" s="115">
        <v>45215</v>
      </c>
      <c r="V91" s="4">
        <v>15.5</v>
      </c>
      <c r="W91" s="4">
        <v>2.464</v>
      </c>
      <c r="AC91" s="1">
        <v>2</v>
      </c>
      <c r="AD91" s="4" t="s">
        <v>277</v>
      </c>
      <c r="AF91" s="1" t="s">
        <v>711</v>
      </c>
      <c r="AG91" s="1" t="s">
        <v>710</v>
      </c>
      <c r="AL91" s="1" t="s">
        <v>708</v>
      </c>
      <c r="AM91" s="99">
        <v>45216</v>
      </c>
      <c r="AQ91" s="4">
        <v>27.138000000000002</v>
      </c>
      <c r="AR91" s="4" t="str">
        <f>IF(ISNA(MATCH($BA91,planas!$BA:$BA,0)),"ne","taip")</f>
        <v>ne</v>
      </c>
      <c r="BA91" s="1" t="s">
        <v>762</v>
      </c>
      <c r="BB91" s="1">
        <f>MOD(SUMPRODUCT(--($T$1:$T90&lt;&gt;$T$2:$T91)),2)</f>
        <v>0</v>
      </c>
    </row>
    <row r="92" spans="1:54" ht="14.4" hidden="1" x14ac:dyDescent="0.3">
      <c r="A92" s="1" t="s">
        <v>294</v>
      </c>
      <c r="B92" s="124" t="s">
        <v>353</v>
      </c>
      <c r="C92" s="1" t="s">
        <v>57</v>
      </c>
      <c r="D92" s="1">
        <v>2</v>
      </c>
      <c r="E92" s="2">
        <v>3280.0039999999999</v>
      </c>
      <c r="F92" s="2">
        <v>4409.973</v>
      </c>
      <c r="G92" s="2">
        <v>595.01099999999997</v>
      </c>
      <c r="H92" s="2">
        <v>5387.12</v>
      </c>
      <c r="J92" s="1">
        <v>11970</v>
      </c>
      <c r="L92" s="3" t="s">
        <v>349</v>
      </c>
      <c r="M92" s="115">
        <v>45254</v>
      </c>
      <c r="V92" s="4">
        <v>14.46</v>
      </c>
      <c r="W92" s="4">
        <v>2.0990000000000002</v>
      </c>
      <c r="AD92" s="4" t="s">
        <v>584</v>
      </c>
      <c r="AF92" s="1" t="s">
        <v>712</v>
      </c>
      <c r="AG92" s="1" t="s">
        <v>706</v>
      </c>
      <c r="AL92" s="1" t="s">
        <v>708</v>
      </c>
      <c r="AM92" s="99">
        <v>45257</v>
      </c>
      <c r="AP92" s="2">
        <v>1</v>
      </c>
      <c r="AQ92" s="4">
        <v>23.466000000000001</v>
      </c>
      <c r="AR92" s="4" t="str">
        <f>IF(ISNA(MATCH($BA92,planas!$BA:$BA,0)),"ne","taip")</f>
        <v>ne</v>
      </c>
      <c r="BA92" s="1" t="s">
        <v>571</v>
      </c>
      <c r="BB92" s="1">
        <f>MOD(SUMPRODUCT(--($T$1:$T91&lt;&gt;$T$2:$T92)),2)</f>
        <v>0</v>
      </c>
    </row>
    <row r="93" spans="1:54" ht="14.4" hidden="1" x14ac:dyDescent="0.3">
      <c r="A93" s="1" t="s">
        <v>294</v>
      </c>
      <c r="B93" s="124" t="s">
        <v>319</v>
      </c>
      <c r="C93" s="1" t="s">
        <v>57</v>
      </c>
      <c r="D93" s="1">
        <v>4</v>
      </c>
      <c r="E93" s="2">
        <v>3280.0210000000002</v>
      </c>
      <c r="F93" s="2">
        <v>5340.027</v>
      </c>
      <c r="G93" s="2">
        <v>595.01199999999994</v>
      </c>
      <c r="H93" s="2">
        <v>6757.62</v>
      </c>
      <c r="J93" s="1">
        <v>13160</v>
      </c>
      <c r="L93" s="3" t="s">
        <v>349</v>
      </c>
      <c r="M93" s="115">
        <v>45261</v>
      </c>
      <c r="V93" s="4">
        <v>17.52</v>
      </c>
      <c r="W93" s="4">
        <v>2.6760000000000002</v>
      </c>
      <c r="AD93" s="4" t="s">
        <v>584</v>
      </c>
      <c r="AF93" s="1" t="s">
        <v>710</v>
      </c>
      <c r="AG93" s="1" t="s">
        <v>712</v>
      </c>
      <c r="AL93" s="1" t="s">
        <v>708</v>
      </c>
      <c r="AM93" s="99">
        <v>45264</v>
      </c>
      <c r="AP93" s="2">
        <v>1</v>
      </c>
      <c r="AQ93" s="4">
        <v>17.542000000000002</v>
      </c>
      <c r="AR93" s="4" t="str">
        <f>IF(ISNA(MATCH($BA93,planas!$BA:$BA,0)),"ne","taip")</f>
        <v>ne</v>
      </c>
      <c r="BA93" s="1" t="s">
        <v>602</v>
      </c>
      <c r="BB93" s="1">
        <f>MOD(SUMPRODUCT(--($T$1:$T92&lt;&gt;$T$2:$T93)),2)</f>
        <v>0</v>
      </c>
    </row>
    <row r="94" spans="1:54" ht="14.4" hidden="1" x14ac:dyDescent="0.3">
      <c r="A94" s="1" t="s">
        <v>294</v>
      </c>
      <c r="B94" s="124" t="s">
        <v>220</v>
      </c>
      <c r="C94" s="1" t="s">
        <v>56</v>
      </c>
      <c r="D94" s="1">
        <v>1</v>
      </c>
      <c r="E94" s="2">
        <v>3510</v>
      </c>
      <c r="F94" s="2">
        <v>2002</v>
      </c>
      <c r="G94" s="2">
        <v>200.001</v>
      </c>
      <c r="H94" s="2">
        <v>1990.74</v>
      </c>
      <c r="J94" s="1">
        <v>15550</v>
      </c>
      <c r="L94" s="3" t="s">
        <v>278</v>
      </c>
      <c r="M94" s="115">
        <v>45278</v>
      </c>
      <c r="V94" s="4">
        <v>7.03</v>
      </c>
      <c r="W94" s="4">
        <v>0.79700000000000004</v>
      </c>
      <c r="AD94" s="4" t="s">
        <v>277</v>
      </c>
      <c r="AF94" s="1" t="s">
        <v>710</v>
      </c>
      <c r="AG94" s="1" t="s">
        <v>707</v>
      </c>
      <c r="AL94" s="1" t="s">
        <v>708</v>
      </c>
      <c r="AM94" s="99">
        <v>45279</v>
      </c>
      <c r="AP94" s="2">
        <v>2</v>
      </c>
      <c r="AQ94" s="4">
        <v>14.52</v>
      </c>
      <c r="AR94" s="4" t="str">
        <f>IF(ISNA(MATCH($BA94,planas!$BA:$BA,0)),"ne","taip")</f>
        <v>ne</v>
      </c>
      <c r="BA94" s="1" t="s">
        <v>673</v>
      </c>
      <c r="BB94" s="1">
        <f>MOD(SUMPRODUCT(--($T$1:$T93&lt;&gt;$T$2:$T94)),2)</f>
        <v>0</v>
      </c>
    </row>
    <row r="95" spans="1:54" ht="14.4" hidden="1" x14ac:dyDescent="0.3">
      <c r="A95" s="1" t="s">
        <v>294</v>
      </c>
      <c r="B95" s="124" t="s">
        <v>315</v>
      </c>
      <c r="C95" s="1" t="s">
        <v>57</v>
      </c>
      <c r="D95" s="1">
        <v>2</v>
      </c>
      <c r="E95" s="2">
        <v>3280.0070000000001</v>
      </c>
      <c r="F95" s="2">
        <v>5165.0429999999997</v>
      </c>
      <c r="G95" s="2">
        <v>545.00599999999997</v>
      </c>
      <c r="H95" s="2">
        <v>6065.23</v>
      </c>
      <c r="J95" s="1">
        <v>12080</v>
      </c>
      <c r="L95" s="3" t="s">
        <v>349</v>
      </c>
      <c r="M95" s="115">
        <v>45254</v>
      </c>
      <c r="V95" s="4">
        <v>16.940000000000001</v>
      </c>
      <c r="W95" s="4">
        <v>2.39</v>
      </c>
      <c r="AD95" s="4" t="s">
        <v>584</v>
      </c>
      <c r="AF95" s="1" t="s">
        <v>712</v>
      </c>
      <c r="AG95" s="1" t="s">
        <v>706</v>
      </c>
      <c r="AL95" s="1" t="s">
        <v>708</v>
      </c>
      <c r="AM95" s="99">
        <v>45257</v>
      </c>
      <c r="AP95" s="2">
        <v>1</v>
      </c>
      <c r="AQ95" s="4">
        <v>39.823999999999998</v>
      </c>
      <c r="AR95" s="4" t="str">
        <f>IF(ISNA(MATCH($BA95,planas!$BA:$BA,0)),"ne","taip")</f>
        <v>ne</v>
      </c>
      <c r="BA95" s="1" t="s">
        <v>590</v>
      </c>
      <c r="BB95" s="1">
        <f>MOD(SUMPRODUCT(--($T$1:$T94&lt;&gt;$T$2:$T95)),2)</f>
        <v>0</v>
      </c>
    </row>
    <row r="96" spans="1:54" ht="14.4" hidden="1" x14ac:dyDescent="0.3">
      <c r="A96" s="1" t="s">
        <v>294</v>
      </c>
      <c r="B96" s="124" t="s">
        <v>308</v>
      </c>
      <c r="C96" s="1" t="s">
        <v>57</v>
      </c>
      <c r="D96" s="1">
        <v>2</v>
      </c>
      <c r="E96" s="2">
        <v>3280.0070000000001</v>
      </c>
      <c r="F96" s="2">
        <v>8414.9989999999998</v>
      </c>
      <c r="G96" s="2">
        <v>595.02599999999995</v>
      </c>
      <c r="H96" s="2">
        <v>10393.75</v>
      </c>
      <c r="J96" s="1">
        <v>10900</v>
      </c>
      <c r="L96" s="3" t="s">
        <v>348</v>
      </c>
      <c r="M96" s="115">
        <v>45247</v>
      </c>
      <c r="V96" s="4">
        <v>27.6</v>
      </c>
      <c r="W96" s="4">
        <v>4.1100000000000003</v>
      </c>
      <c r="AD96" s="4" t="s">
        <v>584</v>
      </c>
      <c r="AF96" s="1" t="s">
        <v>712</v>
      </c>
      <c r="AG96" s="1" t="s">
        <v>711</v>
      </c>
      <c r="AL96" s="1" t="s">
        <v>280</v>
      </c>
      <c r="AM96" s="99">
        <v>45250</v>
      </c>
      <c r="AP96" s="2">
        <v>1</v>
      </c>
      <c r="AQ96" s="4">
        <v>47.563000000000002</v>
      </c>
      <c r="AR96" s="4" t="str">
        <f>IF(ISNA(MATCH($BA96,planas!$BA:$BA,0)),"ne","taip")</f>
        <v>ne</v>
      </c>
      <c r="BA96" s="1" t="s">
        <v>600</v>
      </c>
      <c r="BB96" s="1">
        <f>MOD(SUMPRODUCT(--($T$1:$T95&lt;&gt;$T$2:$T96)),2)</f>
        <v>0</v>
      </c>
    </row>
    <row r="97" spans="1:54" ht="14.4" hidden="1" x14ac:dyDescent="0.3">
      <c r="A97" s="1" t="s">
        <v>294</v>
      </c>
      <c r="B97" s="124" t="s">
        <v>215</v>
      </c>
      <c r="C97" s="1" t="s">
        <v>56</v>
      </c>
      <c r="D97" s="1">
        <v>3</v>
      </c>
      <c r="E97" s="2">
        <v>2930.0070000000001</v>
      </c>
      <c r="F97" s="2">
        <v>4531</v>
      </c>
      <c r="G97" s="2">
        <v>200.03800000000001</v>
      </c>
      <c r="H97" s="2">
        <v>4933.3599999999997</v>
      </c>
      <c r="J97" s="1">
        <v>12290</v>
      </c>
      <c r="L97" s="3" t="s">
        <v>278</v>
      </c>
      <c r="M97" s="115">
        <v>45257</v>
      </c>
      <c r="V97" s="4">
        <v>13.28</v>
      </c>
      <c r="W97" s="4">
        <v>2.012</v>
      </c>
      <c r="AD97" s="4" t="s">
        <v>277</v>
      </c>
      <c r="AF97" s="1" t="s">
        <v>712</v>
      </c>
      <c r="AG97" s="1" t="s">
        <v>706</v>
      </c>
      <c r="AL97" s="1" t="s">
        <v>708</v>
      </c>
      <c r="AM97" s="99">
        <v>45258</v>
      </c>
      <c r="AQ97" s="4">
        <v>26.478999999999999</v>
      </c>
      <c r="AR97" s="4" t="str">
        <f>IF(ISNA(MATCH($BA97,planas!$BA:$BA,0)),"ne","taip")</f>
        <v>ne</v>
      </c>
      <c r="BA97" s="1" t="s">
        <v>472</v>
      </c>
      <c r="BB97" s="1">
        <f>MOD(SUMPRODUCT(--($T$1:$T96&lt;&gt;$T$2:$T97)),2)</f>
        <v>0</v>
      </c>
    </row>
    <row r="98" spans="1:54" ht="14.4" hidden="1" x14ac:dyDescent="0.3">
      <c r="A98" s="1" t="s">
        <v>294</v>
      </c>
      <c r="B98" s="124" t="s">
        <v>300</v>
      </c>
      <c r="C98" s="1" t="s">
        <v>57</v>
      </c>
      <c r="D98" s="1">
        <v>2</v>
      </c>
      <c r="E98" s="2">
        <v>3280.0070000000001</v>
      </c>
      <c r="F98" s="2">
        <v>6050.0559999999996</v>
      </c>
      <c r="G98" s="2">
        <v>595</v>
      </c>
      <c r="H98" s="2">
        <v>8124.31</v>
      </c>
      <c r="J98" s="1">
        <v>12090</v>
      </c>
      <c r="L98" s="3" t="s">
        <v>348</v>
      </c>
      <c r="M98" s="115">
        <v>45254</v>
      </c>
      <c r="V98" s="4">
        <v>19.84</v>
      </c>
      <c r="W98" s="4">
        <v>3.2040000000000002</v>
      </c>
      <c r="AD98" s="4" t="s">
        <v>584</v>
      </c>
      <c r="AF98" s="1" t="s">
        <v>712</v>
      </c>
      <c r="AG98" s="1" t="s">
        <v>706</v>
      </c>
      <c r="AL98" s="1" t="s">
        <v>708</v>
      </c>
      <c r="AM98" s="99">
        <v>45257</v>
      </c>
      <c r="AP98" s="2">
        <v>2</v>
      </c>
      <c r="AQ98" s="4">
        <v>55.243000000000002</v>
      </c>
      <c r="AR98" s="4" t="str">
        <f>IF(ISNA(MATCH($BA98,planas!$BA:$BA,0)),"ne","taip")</f>
        <v>ne</v>
      </c>
      <c r="BA98" s="1" t="s">
        <v>612</v>
      </c>
      <c r="BB98" s="1">
        <f>MOD(SUMPRODUCT(--($T$1:$T97&lt;&gt;$T$2:$T98)),2)</f>
        <v>0</v>
      </c>
    </row>
    <row r="99" spans="1:54" ht="14.4" hidden="1" x14ac:dyDescent="0.3">
      <c r="A99" s="1" t="s">
        <v>294</v>
      </c>
      <c r="B99" s="124" t="s">
        <v>329</v>
      </c>
      <c r="C99" s="1" t="s">
        <v>57</v>
      </c>
      <c r="D99" s="1">
        <v>2</v>
      </c>
      <c r="E99" s="2">
        <v>3280.0010000000002</v>
      </c>
      <c r="F99" s="2">
        <v>3145.0230000000001</v>
      </c>
      <c r="G99" s="2">
        <v>595</v>
      </c>
      <c r="H99" s="2">
        <v>3794.8</v>
      </c>
      <c r="J99" s="1">
        <v>10870</v>
      </c>
      <c r="L99" s="3" t="s">
        <v>348</v>
      </c>
      <c r="M99" s="115">
        <v>45247</v>
      </c>
      <c r="V99" s="4">
        <v>10.32</v>
      </c>
      <c r="W99" s="4">
        <v>1.4950000000000001</v>
      </c>
      <c r="AD99" s="4" t="s">
        <v>584</v>
      </c>
      <c r="AF99" s="1" t="s">
        <v>712</v>
      </c>
      <c r="AG99" s="1" t="s">
        <v>711</v>
      </c>
      <c r="AL99" s="1" t="s">
        <v>708</v>
      </c>
      <c r="AM99" s="99">
        <v>45250</v>
      </c>
      <c r="AP99" s="2">
        <v>2</v>
      </c>
      <c r="AQ99" s="4">
        <v>25.131</v>
      </c>
      <c r="AR99" s="4" t="str">
        <f>IF(ISNA(MATCH($BA99,planas!$BA:$BA,0)),"ne","taip")</f>
        <v>ne</v>
      </c>
      <c r="BA99" s="1" t="s">
        <v>610</v>
      </c>
      <c r="BB99" s="1">
        <f>MOD(SUMPRODUCT(--($T$1:$T98&lt;&gt;$T$2:$T99)),2)</f>
        <v>0</v>
      </c>
    </row>
    <row r="100" spans="1:54" ht="14.4" hidden="1" x14ac:dyDescent="0.3">
      <c r="A100" s="1" t="s">
        <v>294</v>
      </c>
      <c r="B100" s="124" t="s">
        <v>264</v>
      </c>
      <c r="C100" s="1" t="s">
        <v>56</v>
      </c>
      <c r="D100" s="1">
        <v>1</v>
      </c>
      <c r="E100" s="2">
        <v>2930.0070000000001</v>
      </c>
      <c r="F100" s="2">
        <v>4531</v>
      </c>
      <c r="G100" s="2">
        <v>200.03800000000001</v>
      </c>
      <c r="H100" s="2">
        <v>4937.6499999999996</v>
      </c>
      <c r="J100" s="1">
        <v>10010</v>
      </c>
      <c r="L100" s="3" t="s">
        <v>278</v>
      </c>
      <c r="M100" s="115">
        <v>45244</v>
      </c>
      <c r="V100" s="4">
        <v>13.28</v>
      </c>
      <c r="W100" s="4">
        <v>2.0110000000000001</v>
      </c>
      <c r="AD100" s="4" t="s">
        <v>277</v>
      </c>
      <c r="AF100" s="1" t="s">
        <v>706</v>
      </c>
      <c r="AG100" s="1" t="s">
        <v>713</v>
      </c>
      <c r="AL100" s="1" t="s">
        <v>708</v>
      </c>
      <c r="AM100" s="99">
        <v>45245</v>
      </c>
      <c r="AQ100" s="4">
        <v>26.478999999999999</v>
      </c>
      <c r="AR100" s="4" t="str">
        <f>IF(ISNA(MATCH($BA100,planas!$BA:$BA,0)),"ne","taip")</f>
        <v>ne</v>
      </c>
      <c r="BA100" s="1" t="s">
        <v>455</v>
      </c>
      <c r="BB100" s="1">
        <f>MOD(SUMPRODUCT(--($T$1:$T99&lt;&gt;$T$2:$T100)),2)</f>
        <v>0</v>
      </c>
    </row>
    <row r="101" spans="1:54" ht="14.4" hidden="1" x14ac:dyDescent="0.3">
      <c r="A101" s="1" t="s">
        <v>294</v>
      </c>
      <c r="B101" s="124" t="s">
        <v>145</v>
      </c>
      <c r="C101" s="1" t="s">
        <v>56</v>
      </c>
      <c r="D101" s="1">
        <v>3</v>
      </c>
      <c r="E101" s="2">
        <v>3130.0010000000002</v>
      </c>
      <c r="F101" s="2">
        <v>5481.0010000000002</v>
      </c>
      <c r="G101" s="2">
        <v>200.02500000000001</v>
      </c>
      <c r="H101" s="2">
        <v>7195.27</v>
      </c>
      <c r="J101" s="1">
        <v>12270</v>
      </c>
      <c r="L101" s="3" t="s">
        <v>278</v>
      </c>
      <c r="M101" s="115">
        <v>45257</v>
      </c>
      <c r="V101" s="4">
        <v>17.16</v>
      </c>
      <c r="W101" s="4">
        <v>2.931</v>
      </c>
      <c r="AD101" s="4" t="s">
        <v>277</v>
      </c>
      <c r="AF101" s="1" t="s">
        <v>712</v>
      </c>
      <c r="AG101" s="1" t="s">
        <v>706</v>
      </c>
      <c r="AL101" s="1" t="s">
        <v>708</v>
      </c>
      <c r="AM101" s="99">
        <v>45258</v>
      </c>
      <c r="AQ101" s="4">
        <v>33.822000000000003</v>
      </c>
      <c r="AR101" s="4" t="str">
        <f>IF(ISNA(MATCH($BA101,planas!$BA:$BA,0)),"ne","taip")</f>
        <v>ne</v>
      </c>
      <c r="BA101" s="1" t="s">
        <v>411</v>
      </c>
      <c r="BB101" s="1">
        <f>MOD(SUMPRODUCT(--($T$1:$T100&lt;&gt;$T$2:$T101)),2)</f>
        <v>0</v>
      </c>
    </row>
    <row r="102" spans="1:54" ht="14.4" hidden="1" x14ac:dyDescent="0.3">
      <c r="A102" s="1" t="s">
        <v>294</v>
      </c>
      <c r="B102" s="124" t="s">
        <v>157</v>
      </c>
      <c r="C102" s="1" t="s">
        <v>56</v>
      </c>
      <c r="D102" s="1">
        <v>1</v>
      </c>
      <c r="E102" s="2">
        <v>3400.0010000000002</v>
      </c>
      <c r="F102" s="2">
        <v>2081</v>
      </c>
      <c r="G102" s="2">
        <v>200.00200000000001</v>
      </c>
      <c r="H102" s="2">
        <v>3442.29</v>
      </c>
      <c r="J102" s="1">
        <v>14430</v>
      </c>
      <c r="L102" s="3" t="s">
        <v>278</v>
      </c>
      <c r="M102" s="115">
        <v>45271</v>
      </c>
      <c r="V102" s="4">
        <v>7.08</v>
      </c>
      <c r="W102" s="4">
        <v>1.4059999999999999</v>
      </c>
      <c r="AD102" s="4" t="s">
        <v>277</v>
      </c>
      <c r="AF102" s="1" t="s">
        <v>710</v>
      </c>
      <c r="AG102" s="1" t="s">
        <v>710</v>
      </c>
      <c r="AL102" s="1" t="s">
        <v>708</v>
      </c>
      <c r="AM102" s="99">
        <v>45272</v>
      </c>
      <c r="AQ102" s="4">
        <v>10.102</v>
      </c>
      <c r="AR102" s="4" t="str">
        <f>IF(ISNA(MATCH($BA102,planas!$BA:$BA,0)),"ne","taip")</f>
        <v>ne</v>
      </c>
      <c r="BA102" s="1" t="s">
        <v>647</v>
      </c>
      <c r="BB102" s="1">
        <f>MOD(SUMPRODUCT(--($T$1:$T101&lt;&gt;$T$2:$T102)),2)</f>
        <v>0</v>
      </c>
    </row>
    <row r="103" spans="1:54" ht="14.4" hidden="1" x14ac:dyDescent="0.3">
      <c r="A103" s="1" t="s">
        <v>294</v>
      </c>
      <c r="B103" s="124" t="s">
        <v>346</v>
      </c>
      <c r="C103" s="1" t="s">
        <v>57</v>
      </c>
      <c r="D103" s="1">
        <v>1</v>
      </c>
      <c r="E103" s="2">
        <v>3780.0079999999998</v>
      </c>
      <c r="F103" s="2">
        <v>3375.0129999999999</v>
      </c>
      <c r="G103" s="2">
        <v>595.01800000000003</v>
      </c>
      <c r="H103" s="2">
        <v>4961.08</v>
      </c>
      <c r="J103" s="1">
        <v>14230</v>
      </c>
      <c r="L103" s="3" t="s">
        <v>348</v>
      </c>
      <c r="M103" s="115">
        <v>45268</v>
      </c>
      <c r="V103" s="4">
        <v>12.76</v>
      </c>
      <c r="W103" s="4">
        <v>1.9590000000000001</v>
      </c>
      <c r="AD103" s="4" t="s">
        <v>584</v>
      </c>
      <c r="AF103" s="1" t="s">
        <v>710</v>
      </c>
      <c r="AG103" s="1" t="s">
        <v>710</v>
      </c>
      <c r="AL103" s="1" t="s">
        <v>708</v>
      </c>
      <c r="AM103" s="99">
        <v>45271</v>
      </c>
      <c r="AQ103" s="4">
        <v>36.409999999999997</v>
      </c>
      <c r="AR103" s="4" t="str">
        <f>IF(ISNA(MATCH($BA103,planas!$BA:$BA,0)),"ne","taip")</f>
        <v>ne</v>
      </c>
      <c r="BA103" s="1" t="s">
        <v>555</v>
      </c>
      <c r="BB103" s="1">
        <f>MOD(SUMPRODUCT(--($T$1:$T102&lt;&gt;$T$2:$T103)),2)</f>
        <v>0</v>
      </c>
    </row>
    <row r="104" spans="1:54" ht="14.4" hidden="1" x14ac:dyDescent="0.3">
      <c r="A104" s="1" t="s">
        <v>294</v>
      </c>
      <c r="B104" s="124" t="s">
        <v>255</v>
      </c>
      <c r="C104" s="1" t="s">
        <v>56</v>
      </c>
      <c r="D104" s="1">
        <v>1</v>
      </c>
      <c r="E104" s="2">
        <v>2910.0070000000001</v>
      </c>
      <c r="F104" s="2">
        <v>1560</v>
      </c>
      <c r="G104" s="2">
        <v>200.03899999999999</v>
      </c>
      <c r="H104" s="2">
        <v>1169.95</v>
      </c>
      <c r="J104" s="1">
        <v>15520</v>
      </c>
      <c r="L104" s="3" t="s">
        <v>753</v>
      </c>
      <c r="M104" s="115">
        <v>45278</v>
      </c>
      <c r="V104" s="4">
        <v>4.54</v>
      </c>
      <c r="W104" s="4">
        <v>0.46100000000000002</v>
      </c>
      <c r="AD104" s="4" t="s">
        <v>277</v>
      </c>
      <c r="AF104" s="1" t="s">
        <v>710</v>
      </c>
      <c r="AG104" s="1" t="s">
        <v>707</v>
      </c>
      <c r="AL104" s="1" t="s">
        <v>708</v>
      </c>
      <c r="AM104" s="99">
        <v>45279</v>
      </c>
      <c r="AP104" s="2">
        <v>1</v>
      </c>
      <c r="AQ104" s="4">
        <v>11.118</v>
      </c>
      <c r="AR104" s="4" t="str">
        <f>IF(ISNA(MATCH($BA104,planas!$BA:$BA,0)),"ne","taip")</f>
        <v>ne</v>
      </c>
      <c r="BA104" s="1" t="s">
        <v>671</v>
      </c>
      <c r="BB104" s="1">
        <f>MOD(SUMPRODUCT(--($T$1:$T103&lt;&gt;$T$2:$T104)),2)</f>
        <v>0</v>
      </c>
    </row>
    <row r="105" spans="1:54" ht="14.4" hidden="1" x14ac:dyDescent="0.3">
      <c r="A105" s="1" t="s">
        <v>294</v>
      </c>
      <c r="B105" s="124" t="s">
        <v>216</v>
      </c>
      <c r="C105" s="1" t="s">
        <v>56</v>
      </c>
      <c r="D105" s="1">
        <v>4</v>
      </c>
      <c r="E105" s="2">
        <v>3130.0010000000002</v>
      </c>
      <c r="F105" s="2">
        <v>3341</v>
      </c>
      <c r="G105" s="2">
        <v>200.001</v>
      </c>
      <c r="H105" s="2">
        <v>1910.73</v>
      </c>
      <c r="J105" s="1">
        <v>10050</v>
      </c>
      <c r="L105" s="3" t="s">
        <v>278</v>
      </c>
      <c r="M105" s="115">
        <v>45244</v>
      </c>
      <c r="V105" s="4">
        <v>10.46</v>
      </c>
      <c r="W105" s="4">
        <v>0.76200000000000001</v>
      </c>
      <c r="AD105" s="4" t="s">
        <v>277</v>
      </c>
      <c r="AF105" s="1" t="s">
        <v>706</v>
      </c>
      <c r="AG105" s="1" t="s">
        <v>713</v>
      </c>
      <c r="AL105" s="1" t="s">
        <v>708</v>
      </c>
      <c r="AM105" s="99">
        <v>45245</v>
      </c>
      <c r="AP105" s="2">
        <v>3</v>
      </c>
      <c r="AQ105" s="4">
        <v>13.866</v>
      </c>
      <c r="AR105" s="4" t="str">
        <f>IF(ISNA(MATCH($BA105,planas!$BA:$BA,0)),"ne","taip")</f>
        <v>ne</v>
      </c>
      <c r="BA105" s="1" t="s">
        <v>399</v>
      </c>
      <c r="BB105" s="1">
        <f>MOD(SUMPRODUCT(--($T$1:$T104&lt;&gt;$T$2:$T105)),2)</f>
        <v>0</v>
      </c>
    </row>
    <row r="106" spans="1:54" ht="14.4" hidden="1" x14ac:dyDescent="0.3">
      <c r="A106" s="1" t="s">
        <v>294</v>
      </c>
      <c r="B106" s="124" t="s">
        <v>155</v>
      </c>
      <c r="C106" s="1" t="s">
        <v>56</v>
      </c>
      <c r="D106" s="1">
        <v>4</v>
      </c>
      <c r="E106" s="2">
        <v>2920.0059999999999</v>
      </c>
      <c r="F106" s="2">
        <v>1781</v>
      </c>
      <c r="G106" s="2">
        <v>200.00399999999999</v>
      </c>
      <c r="H106" s="2">
        <v>2529.29</v>
      </c>
      <c r="J106" s="1">
        <v>13341</v>
      </c>
      <c r="L106" s="3" t="s">
        <v>278</v>
      </c>
      <c r="M106" s="115">
        <v>45264</v>
      </c>
      <c r="V106" s="4">
        <v>5.2</v>
      </c>
      <c r="W106" s="4">
        <v>1.0329999999999999</v>
      </c>
      <c r="AD106" s="4" t="s">
        <v>277</v>
      </c>
      <c r="AF106" s="1" t="s">
        <v>710</v>
      </c>
      <c r="AG106" s="1" t="s">
        <v>712</v>
      </c>
      <c r="AL106" s="1" t="s">
        <v>708</v>
      </c>
      <c r="AM106" s="99">
        <v>45265</v>
      </c>
      <c r="AQ106" s="4">
        <v>5.9859999999999998</v>
      </c>
      <c r="AR106" s="4" t="str">
        <f>IF(ISNA(MATCH($BA106,planas!$BA:$BA,0)),"ne","taip")</f>
        <v>ne</v>
      </c>
      <c r="BA106" s="1" t="s">
        <v>450</v>
      </c>
      <c r="BB106" s="1">
        <f>MOD(SUMPRODUCT(--($T$1:$T105&lt;&gt;$T$2:$T106)),2)</f>
        <v>0</v>
      </c>
    </row>
    <row r="107" spans="1:54" ht="14.4" hidden="1" x14ac:dyDescent="0.3">
      <c r="A107" s="1" t="s">
        <v>294</v>
      </c>
      <c r="B107" s="124" t="s">
        <v>256</v>
      </c>
      <c r="C107" s="1" t="s">
        <v>56</v>
      </c>
      <c r="D107" s="1">
        <v>1</v>
      </c>
      <c r="E107" s="2">
        <v>2900</v>
      </c>
      <c r="F107" s="2">
        <v>1815</v>
      </c>
      <c r="G107" s="2">
        <v>200</v>
      </c>
      <c r="H107" s="2">
        <v>2559.11</v>
      </c>
      <c r="J107" s="1">
        <v>8790</v>
      </c>
      <c r="L107" s="3" t="s">
        <v>753</v>
      </c>
      <c r="M107" s="115">
        <v>45236</v>
      </c>
      <c r="V107" s="4">
        <v>5.26</v>
      </c>
      <c r="W107" s="4">
        <v>1.046</v>
      </c>
      <c r="AD107" s="4" t="s">
        <v>277</v>
      </c>
      <c r="AF107" s="1" t="s">
        <v>706</v>
      </c>
      <c r="AG107" s="1" t="s">
        <v>755</v>
      </c>
      <c r="AL107" s="1" t="s">
        <v>708</v>
      </c>
      <c r="AM107" s="99">
        <v>45237</v>
      </c>
      <c r="AQ107" s="4">
        <v>6.024</v>
      </c>
      <c r="AR107" s="4" t="str">
        <f>IF(ISNA(MATCH($BA107,planas!$BA:$BA,0)),"ne","taip")</f>
        <v>ne</v>
      </c>
      <c r="BA107" s="1" t="s">
        <v>538</v>
      </c>
      <c r="BB107" s="1">
        <f>MOD(SUMPRODUCT(--($T$1:$T106&lt;&gt;$T$2:$T107)),2)</f>
        <v>0</v>
      </c>
    </row>
    <row r="108" spans="1:54" ht="14.4" hidden="1" x14ac:dyDescent="0.3">
      <c r="A108" s="1" t="s">
        <v>294</v>
      </c>
      <c r="B108" s="124" t="s">
        <v>331</v>
      </c>
      <c r="C108" s="1" t="s">
        <v>57</v>
      </c>
      <c r="D108" s="1">
        <v>2</v>
      </c>
      <c r="E108" s="2">
        <v>3130.0079999999998</v>
      </c>
      <c r="F108" s="2">
        <v>7290.0709999999999</v>
      </c>
      <c r="G108" s="2">
        <v>595.029</v>
      </c>
      <c r="H108" s="2">
        <v>9356.67</v>
      </c>
      <c r="J108" s="1">
        <v>15310</v>
      </c>
      <c r="L108" s="3" t="s">
        <v>348</v>
      </c>
      <c r="M108" s="115">
        <v>45275</v>
      </c>
      <c r="V108" s="4">
        <v>22.82</v>
      </c>
      <c r="W108" s="4">
        <v>3.6829999999999998</v>
      </c>
      <c r="AD108" s="4" t="s">
        <v>584</v>
      </c>
      <c r="AF108" s="1" t="s">
        <v>710</v>
      </c>
      <c r="AG108" s="1" t="s">
        <v>707</v>
      </c>
      <c r="AL108" s="1" t="s">
        <v>708</v>
      </c>
      <c r="AM108" s="99">
        <v>45278</v>
      </c>
      <c r="AP108" s="2">
        <v>2</v>
      </c>
      <c r="AQ108" s="4">
        <v>80.302000000000007</v>
      </c>
      <c r="AR108" s="4" t="str">
        <f>IF(ISNA(MATCH($BA108,planas!$BA:$BA,0)),"ne","taip")</f>
        <v>ne</v>
      </c>
      <c r="BA108" s="1" t="s">
        <v>655</v>
      </c>
      <c r="BB108" s="1">
        <f>MOD(SUMPRODUCT(--($T$1:$T107&lt;&gt;$T$2:$T108)),2)</f>
        <v>0</v>
      </c>
    </row>
    <row r="109" spans="1:54" ht="14.4" hidden="1" x14ac:dyDescent="0.3">
      <c r="A109" s="1" t="s">
        <v>294</v>
      </c>
      <c r="B109" s="124" t="s">
        <v>320</v>
      </c>
      <c r="C109" s="1" t="s">
        <v>57</v>
      </c>
      <c r="D109" s="1">
        <v>2</v>
      </c>
      <c r="E109" s="2">
        <v>3130.0070000000001</v>
      </c>
      <c r="F109" s="2">
        <v>8380.0220000000008</v>
      </c>
      <c r="G109" s="2">
        <v>595</v>
      </c>
      <c r="H109" s="2">
        <v>10685.05</v>
      </c>
      <c r="J109" s="1">
        <v>15300</v>
      </c>
      <c r="L109" s="3" t="s">
        <v>349</v>
      </c>
      <c r="M109" s="115">
        <v>45275</v>
      </c>
      <c r="V109" s="4">
        <v>26.23</v>
      </c>
      <c r="W109" s="4">
        <v>4.2210000000000001</v>
      </c>
      <c r="AD109" s="4" t="s">
        <v>584</v>
      </c>
      <c r="AF109" s="1" t="s">
        <v>710</v>
      </c>
      <c r="AG109" s="1" t="s">
        <v>707</v>
      </c>
      <c r="AL109" s="1" t="s">
        <v>280</v>
      </c>
      <c r="AM109" s="99">
        <v>45278</v>
      </c>
      <c r="AP109" s="2">
        <v>3</v>
      </c>
      <c r="AQ109" s="4">
        <v>59.994999999999997</v>
      </c>
      <c r="AR109" s="4" t="str">
        <f>IF(ISNA(MATCH($BA109,planas!$BA:$BA,0)),"ne","taip")</f>
        <v>ne</v>
      </c>
      <c r="BA109" s="1" t="s">
        <v>649</v>
      </c>
      <c r="BB109" s="1">
        <f>MOD(SUMPRODUCT(--($T$1:$T108&lt;&gt;$T$2:$T109)),2)</f>
        <v>0</v>
      </c>
    </row>
    <row r="110" spans="1:54" ht="14.4" hidden="1" x14ac:dyDescent="0.3">
      <c r="A110" s="1" t="s">
        <v>294</v>
      </c>
      <c r="B110" s="124" t="s">
        <v>230</v>
      </c>
      <c r="C110" s="1" t="s">
        <v>56</v>
      </c>
      <c r="D110" s="1">
        <v>2</v>
      </c>
      <c r="E110" s="2">
        <v>3400.0010000000002</v>
      </c>
      <c r="F110" s="2">
        <v>2002</v>
      </c>
      <c r="G110" s="2">
        <v>200.001</v>
      </c>
      <c r="H110" s="2">
        <v>1989.91</v>
      </c>
      <c r="J110" s="1">
        <v>14560</v>
      </c>
      <c r="L110" s="3" t="s">
        <v>278</v>
      </c>
      <c r="M110" s="115">
        <v>45271</v>
      </c>
      <c r="V110" s="4">
        <v>6.81</v>
      </c>
      <c r="W110" s="4">
        <v>0.79700000000000004</v>
      </c>
      <c r="AD110" s="4" t="s">
        <v>277</v>
      </c>
      <c r="AF110" s="1" t="s">
        <v>710</v>
      </c>
      <c r="AG110" s="1" t="s">
        <v>710</v>
      </c>
      <c r="AL110" s="1" t="s">
        <v>708</v>
      </c>
      <c r="AM110" s="99">
        <v>45272</v>
      </c>
      <c r="AP110" s="2">
        <v>2</v>
      </c>
      <c r="AQ110" s="4">
        <v>9.8219999999999992</v>
      </c>
      <c r="AR110" s="4" t="str">
        <f>IF(ISNA(MATCH($BA110,planas!$BA:$BA,0)),"ne","taip")</f>
        <v>ne</v>
      </c>
      <c r="BA110" s="1" t="s">
        <v>633</v>
      </c>
      <c r="BB110" s="1">
        <f>MOD(SUMPRODUCT(--($T$1:$T109&lt;&gt;$T$2:$T110)),2)</f>
        <v>0</v>
      </c>
    </row>
    <row r="111" spans="1:54" ht="14.4" hidden="1" x14ac:dyDescent="0.3">
      <c r="A111" s="1" t="s">
        <v>294</v>
      </c>
      <c r="B111" s="124" t="s">
        <v>366</v>
      </c>
      <c r="C111" s="1" t="s">
        <v>56</v>
      </c>
      <c r="D111" s="1">
        <v>1</v>
      </c>
      <c r="E111" s="2">
        <v>1110</v>
      </c>
      <c r="F111" s="2">
        <v>5160</v>
      </c>
      <c r="G111" s="2">
        <v>140.005</v>
      </c>
      <c r="H111" s="2">
        <v>1966.19</v>
      </c>
      <c r="J111" s="1">
        <v>15630</v>
      </c>
      <c r="L111" s="3" t="s">
        <v>753</v>
      </c>
      <c r="M111" s="115">
        <v>45278</v>
      </c>
      <c r="V111" s="4">
        <v>5.73</v>
      </c>
      <c r="W111" s="4">
        <v>0.79500000000000004</v>
      </c>
      <c r="AD111" s="4" t="s">
        <v>359</v>
      </c>
      <c r="AF111" s="1" t="s">
        <v>710</v>
      </c>
      <c r="AG111" s="1" t="s">
        <v>707</v>
      </c>
      <c r="AL111" s="1" t="s">
        <v>708</v>
      </c>
      <c r="AM111" s="99">
        <v>45279</v>
      </c>
      <c r="AQ111" s="4">
        <v>17.207999999999998</v>
      </c>
      <c r="AR111" s="4" t="str">
        <f>IF(ISNA(MATCH($BA111,planas!$BA:$BA,0)),"ne","taip")</f>
        <v>ne</v>
      </c>
      <c r="BA111" s="1" t="s">
        <v>666</v>
      </c>
      <c r="BB111" s="1">
        <f>MOD(SUMPRODUCT(--($T$1:$T110&lt;&gt;$T$2:$T111)),2)</f>
        <v>0</v>
      </c>
    </row>
    <row r="112" spans="1:54" ht="14.4" hidden="1" x14ac:dyDescent="0.3">
      <c r="A112" s="1" t="s">
        <v>294</v>
      </c>
      <c r="B112" s="124" t="s">
        <v>316</v>
      </c>
      <c r="C112" s="1" t="s">
        <v>57</v>
      </c>
      <c r="D112" s="1">
        <v>3</v>
      </c>
      <c r="E112" s="2">
        <v>3280.0010000000002</v>
      </c>
      <c r="F112" s="2">
        <v>6160.0060000000003</v>
      </c>
      <c r="G112" s="2">
        <v>595.01700000000005</v>
      </c>
      <c r="H112" s="2">
        <v>9592.17</v>
      </c>
      <c r="J112" s="1">
        <v>12100</v>
      </c>
      <c r="L112" s="3" t="s">
        <v>349</v>
      </c>
      <c r="M112" s="115">
        <v>45254</v>
      </c>
      <c r="V112" s="4">
        <v>20.2</v>
      </c>
      <c r="W112" s="4">
        <v>3.802</v>
      </c>
      <c r="AD112" s="4" t="s">
        <v>584</v>
      </c>
      <c r="AF112" s="1" t="s">
        <v>712</v>
      </c>
      <c r="AG112" s="1" t="s">
        <v>706</v>
      </c>
      <c r="AL112" s="1" t="s">
        <v>708</v>
      </c>
      <c r="AM112" s="99">
        <v>45257</v>
      </c>
      <c r="AQ112" s="4">
        <v>65.738</v>
      </c>
      <c r="AR112" s="4" t="str">
        <f>IF(ISNA(MATCH($BA112,planas!$BA:$BA,0)),"ne","taip")</f>
        <v>ne</v>
      </c>
      <c r="BA112" s="1" t="s">
        <v>611</v>
      </c>
      <c r="BB112" s="1">
        <f>MOD(SUMPRODUCT(--($T$1:$T111&lt;&gt;$T$2:$T112)),2)</f>
        <v>0</v>
      </c>
    </row>
    <row r="113" spans="1:54" ht="14.4" hidden="1" x14ac:dyDescent="0.3">
      <c r="A113" s="1" t="s">
        <v>294</v>
      </c>
      <c r="B113" s="124" t="s">
        <v>158</v>
      </c>
      <c r="C113" s="1" t="s">
        <v>56</v>
      </c>
      <c r="D113" s="1">
        <v>1</v>
      </c>
      <c r="E113" s="2">
        <v>3420.0070000000001</v>
      </c>
      <c r="F113" s="2">
        <v>4145</v>
      </c>
      <c r="G113" s="2">
        <v>200.00299999999999</v>
      </c>
      <c r="H113" s="2">
        <v>6897.85</v>
      </c>
      <c r="J113" s="1">
        <v>14480</v>
      </c>
      <c r="L113" s="3" t="s">
        <v>753</v>
      </c>
      <c r="M113" s="115">
        <v>45271</v>
      </c>
      <c r="V113" s="4">
        <v>14.18</v>
      </c>
      <c r="W113" s="4">
        <v>2.8170000000000002</v>
      </c>
      <c r="AD113" s="4" t="s">
        <v>277</v>
      </c>
      <c r="AF113" s="1" t="s">
        <v>710</v>
      </c>
      <c r="AG113" s="1" t="s">
        <v>710</v>
      </c>
      <c r="AL113" s="1" t="s">
        <v>708</v>
      </c>
      <c r="AM113" s="99">
        <v>45272</v>
      </c>
      <c r="AQ113" s="4">
        <v>21.533000000000001</v>
      </c>
      <c r="AR113" s="4" t="str">
        <f>IF(ISNA(MATCH($BA113,planas!$BA:$BA,0)),"ne","taip")</f>
        <v>ne</v>
      </c>
      <c r="BA113" s="1" t="s">
        <v>632</v>
      </c>
      <c r="BB113" s="1">
        <f>MOD(SUMPRODUCT(--($T$1:$T112&lt;&gt;$T$2:$T113)),2)</f>
        <v>0</v>
      </c>
    </row>
    <row r="114" spans="1:54" ht="14.4" x14ac:dyDescent="0.3">
      <c r="A114" s="1" t="s">
        <v>294</v>
      </c>
      <c r="B114" s="124" t="s">
        <v>372</v>
      </c>
      <c r="C114" s="1" t="s">
        <v>57</v>
      </c>
      <c r="D114" s="1">
        <v>1</v>
      </c>
      <c r="E114" s="2">
        <v>3280.0070000000001</v>
      </c>
      <c r="F114" s="2">
        <v>6210.0069999999996</v>
      </c>
      <c r="G114" s="2">
        <v>595.00199999999995</v>
      </c>
      <c r="H114" s="2">
        <v>7738.94</v>
      </c>
      <c r="J114" s="1">
        <v>13180</v>
      </c>
      <c r="K114" s="3">
        <v>45149</v>
      </c>
      <c r="L114" s="3" t="s">
        <v>349</v>
      </c>
      <c r="M114" s="115">
        <v>45261</v>
      </c>
      <c r="V114" s="4">
        <v>20.37</v>
      </c>
      <c r="W114" s="4">
        <v>3.0150000000000001</v>
      </c>
      <c r="AC114" s="1">
        <v>2</v>
      </c>
      <c r="AD114" s="4" t="s">
        <v>584</v>
      </c>
      <c r="AF114" s="1" t="s">
        <v>710</v>
      </c>
      <c r="AG114" s="1" t="s">
        <v>712</v>
      </c>
      <c r="AL114" s="1" t="s">
        <v>708</v>
      </c>
      <c r="AM114" s="99">
        <v>45264</v>
      </c>
      <c r="AP114" s="2">
        <v>2</v>
      </c>
      <c r="AQ114" s="4">
        <v>26.571000000000002</v>
      </c>
      <c r="AR114" s="4" t="str">
        <f>IF(ISNA(MATCH($BA114,planas!$BA:$BA,0)),"ne","taip")</f>
        <v>ne</v>
      </c>
      <c r="BA114" s="1" t="s">
        <v>560</v>
      </c>
      <c r="BB114" s="1">
        <f>MOD(SUMPRODUCT(--($T$1:$T113&lt;&gt;$T$2:$T114)),2)</f>
        <v>0</v>
      </c>
    </row>
    <row r="115" spans="1:54" ht="14.4" hidden="1" x14ac:dyDescent="0.3">
      <c r="A115" s="1" t="s">
        <v>294</v>
      </c>
      <c r="B115" s="124" t="s">
        <v>228</v>
      </c>
      <c r="C115" s="1" t="s">
        <v>56</v>
      </c>
      <c r="D115" s="1">
        <v>1</v>
      </c>
      <c r="E115" s="2">
        <v>2920.0070000000001</v>
      </c>
      <c r="F115" s="2">
        <v>4531</v>
      </c>
      <c r="G115" s="2">
        <v>200.03800000000001</v>
      </c>
      <c r="H115" s="2">
        <v>4920.1899999999996</v>
      </c>
      <c r="J115" s="1">
        <v>8920</v>
      </c>
      <c r="L115" s="3" t="s">
        <v>278</v>
      </c>
      <c r="M115" s="115">
        <v>45237</v>
      </c>
      <c r="V115" s="4">
        <v>13.23</v>
      </c>
      <c r="W115" s="4">
        <v>2.0030000000000001</v>
      </c>
      <c r="AD115" s="4" t="s">
        <v>277</v>
      </c>
      <c r="AF115" s="1" t="s">
        <v>706</v>
      </c>
      <c r="AG115" s="1" t="s">
        <v>755</v>
      </c>
      <c r="AL115" s="1" t="s">
        <v>708</v>
      </c>
      <c r="AM115" s="99">
        <v>45238</v>
      </c>
      <c r="AQ115" s="4">
        <v>26.556999999999999</v>
      </c>
      <c r="AR115" s="4" t="str">
        <f>IF(ISNA(MATCH($BA115,planas!$BA:$BA,0)),"ne","taip")</f>
        <v>ne</v>
      </c>
      <c r="BA115" s="1" t="s">
        <v>525</v>
      </c>
      <c r="BB115" s="1">
        <f>MOD(SUMPRODUCT(--($T$1:$T114&lt;&gt;$T$2:$T115)),2)</f>
        <v>0</v>
      </c>
    </row>
    <row r="116" spans="1:54" ht="14.4" hidden="1" x14ac:dyDescent="0.3">
      <c r="A116" s="1" t="s">
        <v>294</v>
      </c>
      <c r="B116" s="124" t="s">
        <v>150</v>
      </c>
      <c r="C116" s="1" t="s">
        <v>56</v>
      </c>
      <c r="D116" s="1">
        <v>1</v>
      </c>
      <c r="E116" s="2">
        <v>3630.0070000000001</v>
      </c>
      <c r="F116" s="2">
        <v>7950</v>
      </c>
      <c r="G116" s="2">
        <v>200.00299999999999</v>
      </c>
      <c r="H116" s="2">
        <v>9361.32</v>
      </c>
      <c r="J116" s="1">
        <v>14350</v>
      </c>
      <c r="L116" s="3" t="s">
        <v>775</v>
      </c>
      <c r="M116" s="115">
        <v>45268</v>
      </c>
      <c r="V116" s="4">
        <v>28.86</v>
      </c>
      <c r="W116" s="4">
        <v>3.7970000000000002</v>
      </c>
      <c r="AD116" s="4" t="s">
        <v>293</v>
      </c>
      <c r="AF116" s="1" t="s">
        <v>710</v>
      </c>
      <c r="AG116" s="1" t="s">
        <v>710</v>
      </c>
      <c r="AL116" s="1" t="s">
        <v>708</v>
      </c>
      <c r="AM116" s="99">
        <v>45271</v>
      </c>
      <c r="AP116" s="2">
        <v>1</v>
      </c>
      <c r="AQ116" s="4">
        <v>37.731000000000002</v>
      </c>
      <c r="AR116" s="4" t="str">
        <f>IF(ISNA(MATCH($BA116,planas!$BA:$BA,0)),"ne","taip")</f>
        <v>ne</v>
      </c>
      <c r="BA116" s="1" t="s">
        <v>630</v>
      </c>
      <c r="BB116" s="1">
        <f>MOD(SUMPRODUCT(--($T$1:$T115&lt;&gt;$T$2:$T116)),2)</f>
        <v>0</v>
      </c>
    </row>
    <row r="117" spans="1:54" ht="14.4" hidden="1" x14ac:dyDescent="0.3">
      <c r="A117" s="1" t="s">
        <v>294</v>
      </c>
      <c r="B117" s="124" t="s">
        <v>284</v>
      </c>
      <c r="C117" s="1" t="s">
        <v>56</v>
      </c>
      <c r="D117" s="1">
        <v>1</v>
      </c>
      <c r="E117" s="2">
        <v>1110</v>
      </c>
      <c r="F117" s="2">
        <v>6410</v>
      </c>
      <c r="G117" s="2">
        <v>140</v>
      </c>
      <c r="H117" s="2">
        <v>2455.9699999999998</v>
      </c>
      <c r="J117" s="1">
        <v>15600</v>
      </c>
      <c r="L117" s="3" t="s">
        <v>753</v>
      </c>
      <c r="M117" s="115">
        <v>45278</v>
      </c>
      <c r="V117" s="4">
        <v>7.12</v>
      </c>
      <c r="W117" s="4">
        <v>0.99299999999999999</v>
      </c>
      <c r="AD117" s="4" t="s">
        <v>359</v>
      </c>
      <c r="AF117" s="1" t="s">
        <v>710</v>
      </c>
      <c r="AG117" s="1" t="s">
        <v>707</v>
      </c>
      <c r="AL117" s="1" t="s">
        <v>708</v>
      </c>
      <c r="AM117" s="99">
        <v>45279</v>
      </c>
      <c r="AQ117" s="4">
        <v>21.135999999999999</v>
      </c>
      <c r="AR117" s="4" t="str">
        <f>IF(ISNA(MATCH($BA117,planas!$BA:$BA,0)),"ne","taip")</f>
        <v>ne</v>
      </c>
      <c r="BA117" s="1" t="s">
        <v>665</v>
      </c>
      <c r="BB117" s="1">
        <f>MOD(SUMPRODUCT(--($T$1:$T116&lt;&gt;$T$2:$T117)),2)</f>
        <v>0</v>
      </c>
    </row>
    <row r="118" spans="1:54" ht="14.4" x14ac:dyDescent="0.3">
      <c r="A118" s="1" t="s">
        <v>294</v>
      </c>
      <c r="B118" s="124" t="s">
        <v>379</v>
      </c>
      <c r="C118" s="1" t="s">
        <v>57</v>
      </c>
      <c r="D118" s="1">
        <v>1</v>
      </c>
      <c r="E118" s="2">
        <v>3280.0239999999999</v>
      </c>
      <c r="F118" s="2">
        <v>7290.0730000000003</v>
      </c>
      <c r="G118" s="2">
        <v>595.029</v>
      </c>
      <c r="H118" s="2">
        <v>9410.89</v>
      </c>
      <c r="J118" s="1">
        <v>13080</v>
      </c>
      <c r="K118" s="3">
        <v>45149</v>
      </c>
      <c r="L118" s="3" t="s">
        <v>348</v>
      </c>
      <c r="M118" s="115">
        <v>45261</v>
      </c>
      <c r="V118" s="4">
        <v>23.91</v>
      </c>
      <c r="W118" s="4">
        <v>3.6760000000000002</v>
      </c>
      <c r="AC118" s="1">
        <v>2</v>
      </c>
      <c r="AD118" s="4" t="s">
        <v>584</v>
      </c>
      <c r="AF118" s="1" t="s">
        <v>710</v>
      </c>
      <c r="AG118" s="1" t="s">
        <v>712</v>
      </c>
      <c r="AL118" s="1" t="s">
        <v>708</v>
      </c>
      <c r="AM118" s="99">
        <v>45264</v>
      </c>
      <c r="AP118" s="2">
        <v>2</v>
      </c>
      <c r="AQ118" s="4">
        <v>31.72</v>
      </c>
      <c r="AR118" s="4" t="str">
        <f>IF(ISNA(MATCH($BA118,planas!$BA:$BA,0)),"ne","taip")</f>
        <v>ne</v>
      </c>
      <c r="BA118" s="1" t="s">
        <v>567</v>
      </c>
      <c r="BB118" s="1">
        <f>MOD(SUMPRODUCT(--($T$1:$T117&lt;&gt;$T$2:$T118)),2)</f>
        <v>0</v>
      </c>
    </row>
    <row r="119" spans="1:54" ht="14.4" hidden="1" x14ac:dyDescent="0.3">
      <c r="A119" s="1" t="s">
        <v>294</v>
      </c>
      <c r="B119" s="124" t="s">
        <v>148</v>
      </c>
      <c r="C119" s="1" t="s">
        <v>56</v>
      </c>
      <c r="D119" s="1">
        <v>1</v>
      </c>
      <c r="E119" s="2">
        <v>3400.0070000000001</v>
      </c>
      <c r="F119" s="2">
        <v>2460</v>
      </c>
      <c r="G119" s="2">
        <v>200.00299999999999</v>
      </c>
      <c r="H119" s="2">
        <v>3964.14</v>
      </c>
      <c r="J119" s="1">
        <v>14440</v>
      </c>
      <c r="L119" s="3" t="s">
        <v>753</v>
      </c>
      <c r="M119" s="115">
        <v>45271</v>
      </c>
      <c r="V119" s="4">
        <v>8.36</v>
      </c>
      <c r="W119" s="4">
        <v>1.61</v>
      </c>
      <c r="AD119" s="4" t="s">
        <v>277</v>
      </c>
      <c r="AF119" s="1" t="s">
        <v>710</v>
      </c>
      <c r="AG119" s="1" t="s">
        <v>710</v>
      </c>
      <c r="AL119" s="1" t="s">
        <v>708</v>
      </c>
      <c r="AM119" s="99">
        <v>45272</v>
      </c>
      <c r="AQ119" s="4">
        <v>33.018999999999998</v>
      </c>
      <c r="AR119" s="4" t="str">
        <f>IF(ISNA(MATCH($BA119,planas!$BA:$BA,0)),"ne","taip")</f>
        <v>ne</v>
      </c>
      <c r="BA119" s="1" t="s">
        <v>643</v>
      </c>
      <c r="BB119" s="1">
        <f>MOD(SUMPRODUCT(--($T$1:$T118&lt;&gt;$T$2:$T119)),2)</f>
        <v>0</v>
      </c>
    </row>
    <row r="120" spans="1:54" ht="14.4" hidden="1" x14ac:dyDescent="0.3">
      <c r="A120" s="1" t="s">
        <v>294</v>
      </c>
      <c r="B120" s="124" t="s">
        <v>387</v>
      </c>
      <c r="C120" s="1" t="s">
        <v>56</v>
      </c>
      <c r="D120" s="1">
        <v>1</v>
      </c>
      <c r="E120" s="2">
        <v>1160</v>
      </c>
      <c r="F120" s="2">
        <v>8380</v>
      </c>
      <c r="G120" s="2">
        <v>140</v>
      </c>
      <c r="H120" s="2">
        <v>3351.26</v>
      </c>
      <c r="J120" s="1">
        <v>16240</v>
      </c>
      <c r="L120" s="3" t="s">
        <v>753</v>
      </c>
      <c r="M120" s="115">
        <v>45296</v>
      </c>
      <c r="V120" s="4">
        <v>9.7200000000000006</v>
      </c>
      <c r="W120" s="4">
        <v>1.3540000000000001</v>
      </c>
      <c r="AD120" s="4" t="s">
        <v>359</v>
      </c>
      <c r="AF120" s="1" t="s">
        <v>710</v>
      </c>
      <c r="AG120" s="1" t="s">
        <v>709</v>
      </c>
      <c r="AL120" s="1" t="s">
        <v>708</v>
      </c>
      <c r="AM120" s="99">
        <v>45287</v>
      </c>
      <c r="AQ120" s="4">
        <v>31.004000000000001</v>
      </c>
      <c r="AR120" s="4" t="str">
        <f>IF(ISNA(MATCH($BA120,planas!$BA:$BA,0)),"ne","taip")</f>
        <v>ne</v>
      </c>
      <c r="BA120" s="1" t="s">
        <v>685</v>
      </c>
      <c r="BB120" s="1">
        <f>MOD(SUMPRODUCT(--($T$1:$T119&lt;&gt;$T$2:$T120)),2)</f>
        <v>0</v>
      </c>
    </row>
    <row r="121" spans="1:54" ht="14.4" hidden="1" x14ac:dyDescent="0.3">
      <c r="A121" s="1" t="s">
        <v>294</v>
      </c>
      <c r="B121" s="124" t="s">
        <v>185</v>
      </c>
      <c r="C121" s="1" t="s">
        <v>56</v>
      </c>
      <c r="D121" s="1">
        <v>1</v>
      </c>
      <c r="E121" s="2">
        <v>3120.0070000000001</v>
      </c>
      <c r="F121" s="2">
        <v>2081.0010000000002</v>
      </c>
      <c r="G121" s="2">
        <v>200.00399999999999</v>
      </c>
      <c r="H121" s="2">
        <v>3123.77</v>
      </c>
      <c r="J121" s="1">
        <v>8850</v>
      </c>
      <c r="L121" s="3" t="s">
        <v>278</v>
      </c>
      <c r="M121" s="115">
        <v>45237</v>
      </c>
      <c r="V121" s="4">
        <v>6.49</v>
      </c>
      <c r="W121" s="4">
        <v>1.268</v>
      </c>
      <c r="AD121" s="4" t="s">
        <v>277</v>
      </c>
      <c r="AF121" s="1" t="s">
        <v>706</v>
      </c>
      <c r="AG121" s="1" t="s">
        <v>755</v>
      </c>
      <c r="AL121" s="1" t="s">
        <v>708</v>
      </c>
      <c r="AM121" s="99">
        <v>45238</v>
      </c>
      <c r="AQ121" s="4">
        <v>29.815000000000001</v>
      </c>
      <c r="AR121" s="4" t="str">
        <f>IF(ISNA(MATCH($BA121,planas!$BA:$BA,0)),"ne","taip")</f>
        <v>ne</v>
      </c>
      <c r="BA121" s="1" t="s">
        <v>529</v>
      </c>
      <c r="BB121" s="1">
        <f>MOD(SUMPRODUCT(--($T$1:$T120&lt;&gt;$T$2:$T121)),2)</f>
        <v>0</v>
      </c>
    </row>
    <row r="122" spans="1:54" ht="14.4" hidden="1" x14ac:dyDescent="0.3">
      <c r="A122" s="1" t="s">
        <v>294</v>
      </c>
      <c r="B122" s="124" t="s">
        <v>330</v>
      </c>
      <c r="C122" s="1" t="s">
        <v>57</v>
      </c>
      <c r="D122" s="1">
        <v>4</v>
      </c>
      <c r="E122" s="2">
        <v>3280.0219999999999</v>
      </c>
      <c r="F122" s="2">
        <v>6170.0129999999999</v>
      </c>
      <c r="G122" s="2">
        <v>595</v>
      </c>
      <c r="H122" s="2">
        <v>7075.69</v>
      </c>
      <c r="J122" s="1">
        <v>10940</v>
      </c>
      <c r="L122" s="3" t="s">
        <v>348</v>
      </c>
      <c r="M122" s="115">
        <v>45247</v>
      </c>
      <c r="V122" s="4">
        <v>20.239999999999998</v>
      </c>
      <c r="W122" s="4">
        <v>2.8</v>
      </c>
      <c r="AD122" s="4" t="s">
        <v>584</v>
      </c>
      <c r="AF122" s="1" t="s">
        <v>712</v>
      </c>
      <c r="AG122" s="1" t="s">
        <v>711</v>
      </c>
      <c r="AL122" s="1" t="s">
        <v>708</v>
      </c>
      <c r="AM122" s="99">
        <v>45250</v>
      </c>
      <c r="AP122" s="2">
        <v>2</v>
      </c>
      <c r="AQ122" s="4">
        <v>33.588999999999999</v>
      </c>
      <c r="AR122" s="4" t="str">
        <f>IF(ISNA(MATCH($BA122,planas!$BA:$BA,0)),"ne","taip")</f>
        <v>ne</v>
      </c>
      <c r="BA122" s="1" t="s">
        <v>593</v>
      </c>
      <c r="BB122" s="1">
        <f>MOD(SUMPRODUCT(--($T$1:$T121&lt;&gt;$T$2:$T122)),2)</f>
        <v>0</v>
      </c>
    </row>
    <row r="123" spans="1:54" ht="14.4" hidden="1" x14ac:dyDescent="0.3">
      <c r="A123" s="1" t="s">
        <v>294</v>
      </c>
      <c r="B123" s="124" t="s">
        <v>147</v>
      </c>
      <c r="C123" s="1" t="s">
        <v>56</v>
      </c>
      <c r="D123" s="1">
        <v>3</v>
      </c>
      <c r="E123" s="2">
        <v>2920.0149999999999</v>
      </c>
      <c r="F123" s="2">
        <v>2380.0010000000002</v>
      </c>
      <c r="G123" s="2">
        <v>200.03899999999999</v>
      </c>
      <c r="H123" s="2">
        <v>2305.7199999999998</v>
      </c>
      <c r="J123" s="1">
        <v>11080</v>
      </c>
      <c r="L123" s="3" t="s">
        <v>753</v>
      </c>
      <c r="M123" s="115">
        <v>45250</v>
      </c>
      <c r="V123" s="4">
        <v>6.95</v>
      </c>
      <c r="W123" s="4">
        <v>0.91800000000000004</v>
      </c>
      <c r="AD123" s="4" t="s">
        <v>277</v>
      </c>
      <c r="AF123" s="1" t="s">
        <v>712</v>
      </c>
      <c r="AG123" s="1" t="s">
        <v>711</v>
      </c>
      <c r="AL123" s="1" t="s">
        <v>708</v>
      </c>
      <c r="AM123" s="99">
        <v>45251</v>
      </c>
      <c r="AP123" s="2">
        <v>2</v>
      </c>
      <c r="AQ123" s="4">
        <v>14.186999999999999</v>
      </c>
      <c r="AR123" s="4" t="str">
        <f>IF(ISNA(MATCH($BA123,planas!$BA:$BA,0)),"ne","taip")</f>
        <v>ne</v>
      </c>
      <c r="BA123" s="1" t="s">
        <v>466</v>
      </c>
      <c r="BB123" s="1">
        <f>MOD(SUMPRODUCT(--($T$1:$T122&lt;&gt;$T$2:$T123)),2)</f>
        <v>0</v>
      </c>
    </row>
    <row r="124" spans="1:54" ht="14.4" hidden="1" x14ac:dyDescent="0.3">
      <c r="A124" s="1" t="s">
        <v>294</v>
      </c>
      <c r="B124" s="124" t="s">
        <v>378</v>
      </c>
      <c r="C124" s="1" t="s">
        <v>57</v>
      </c>
      <c r="D124" s="1">
        <v>2</v>
      </c>
      <c r="E124" s="2">
        <v>3130.0030000000002</v>
      </c>
      <c r="F124" s="2">
        <v>7775.0510000000004</v>
      </c>
      <c r="G124" s="2">
        <v>595.03</v>
      </c>
      <c r="H124" s="2">
        <v>9692.66</v>
      </c>
      <c r="J124" s="1">
        <v>15360</v>
      </c>
      <c r="L124" s="3" t="s">
        <v>348</v>
      </c>
      <c r="M124" s="115">
        <v>45275</v>
      </c>
      <c r="V124" s="4">
        <v>24.34</v>
      </c>
      <c r="W124" s="4">
        <v>3.8</v>
      </c>
      <c r="AD124" s="4" t="s">
        <v>584</v>
      </c>
      <c r="AF124" s="1" t="s">
        <v>710</v>
      </c>
      <c r="AG124" s="1" t="s">
        <v>707</v>
      </c>
      <c r="AL124" s="1" t="s">
        <v>708</v>
      </c>
      <c r="AM124" s="99">
        <v>45278</v>
      </c>
      <c r="AP124" s="2">
        <v>2</v>
      </c>
      <c r="AQ124" s="4">
        <v>68.846999999999994</v>
      </c>
      <c r="AR124" s="4" t="str">
        <f>IF(ISNA(MATCH($BA124,planas!$BA:$BA,0)),"ne","taip")</f>
        <v>ne</v>
      </c>
      <c r="BA124" s="1" t="s">
        <v>650</v>
      </c>
      <c r="BB124" s="1">
        <f>MOD(SUMPRODUCT(--($T$1:$T123&lt;&gt;$T$2:$T124)),2)</f>
        <v>0</v>
      </c>
    </row>
    <row r="125" spans="1:54" ht="14.4" hidden="1" x14ac:dyDescent="0.3">
      <c r="A125" s="1" t="s">
        <v>294</v>
      </c>
      <c r="B125" s="124" t="s">
        <v>183</v>
      </c>
      <c r="C125" s="1" t="s">
        <v>56</v>
      </c>
      <c r="D125" s="1">
        <v>4</v>
      </c>
      <c r="E125" s="2">
        <v>2920.0070000000001</v>
      </c>
      <c r="F125" s="2">
        <v>2460</v>
      </c>
      <c r="G125" s="2">
        <v>200.00299999999999</v>
      </c>
      <c r="H125" s="2">
        <v>3395.42</v>
      </c>
      <c r="J125" s="1">
        <v>13320</v>
      </c>
      <c r="L125" s="3" t="s">
        <v>753</v>
      </c>
      <c r="M125" s="115">
        <v>45264</v>
      </c>
      <c r="V125" s="4">
        <v>7.18</v>
      </c>
      <c r="W125" s="4">
        <v>1.3740000000000001</v>
      </c>
      <c r="AD125" s="4" t="s">
        <v>277</v>
      </c>
      <c r="AF125" s="1" t="s">
        <v>710</v>
      </c>
      <c r="AG125" s="1" t="s">
        <v>712</v>
      </c>
      <c r="AL125" s="1" t="s">
        <v>708</v>
      </c>
      <c r="AM125" s="99">
        <v>45265</v>
      </c>
      <c r="AQ125" s="4">
        <v>32.081000000000003</v>
      </c>
      <c r="AR125" s="4" t="str">
        <f>IF(ISNA(MATCH($BA125,planas!$BA:$BA,0)),"ne","taip")</f>
        <v>ne</v>
      </c>
      <c r="BA125" s="1" t="s">
        <v>394</v>
      </c>
      <c r="BB125" s="1">
        <f>MOD(SUMPRODUCT(--($T$1:$T124&lt;&gt;$T$2:$T125)),2)</f>
        <v>0</v>
      </c>
    </row>
    <row r="126" spans="1:54" ht="14.4" hidden="1" x14ac:dyDescent="0.3">
      <c r="A126" s="1" t="s">
        <v>294</v>
      </c>
      <c r="B126" s="124" t="s">
        <v>332</v>
      </c>
      <c r="C126" s="1" t="s">
        <v>57</v>
      </c>
      <c r="D126" s="1">
        <v>2</v>
      </c>
      <c r="E126" s="2">
        <v>3280.0079999999998</v>
      </c>
      <c r="F126" s="2">
        <v>3094.971</v>
      </c>
      <c r="G126" s="2">
        <v>595</v>
      </c>
      <c r="H126" s="2">
        <v>4258.04</v>
      </c>
      <c r="J126" s="1">
        <v>13110</v>
      </c>
      <c r="L126" s="3" t="s">
        <v>349</v>
      </c>
      <c r="M126" s="115">
        <v>45261</v>
      </c>
      <c r="V126" s="4">
        <v>10.15</v>
      </c>
      <c r="W126" s="4">
        <v>1.679</v>
      </c>
      <c r="AD126" s="4" t="s">
        <v>584</v>
      </c>
      <c r="AF126" s="1" t="s">
        <v>710</v>
      </c>
      <c r="AG126" s="1" t="s">
        <v>712</v>
      </c>
      <c r="AL126" s="1" t="s">
        <v>708</v>
      </c>
      <c r="AM126" s="99">
        <v>45264</v>
      </c>
      <c r="AQ126" s="4">
        <v>25.236000000000001</v>
      </c>
      <c r="AR126" s="4" t="str">
        <f>IF(ISNA(MATCH($BA126,planas!$BA:$BA,0)),"ne","taip")</f>
        <v>ne</v>
      </c>
      <c r="BA126" s="1" t="s">
        <v>618</v>
      </c>
      <c r="BB126" s="1">
        <f>MOD(SUMPRODUCT(--($T$1:$T125&lt;&gt;$T$2:$T126)),2)</f>
        <v>0</v>
      </c>
    </row>
    <row r="127" spans="1:54" ht="14.4" hidden="1" x14ac:dyDescent="0.3">
      <c r="A127" s="1" t="s">
        <v>294</v>
      </c>
      <c r="B127" s="124" t="s">
        <v>216</v>
      </c>
      <c r="C127" s="1" t="s">
        <v>56</v>
      </c>
      <c r="D127" s="1">
        <v>4</v>
      </c>
      <c r="E127" s="2">
        <v>3130.0010000000002</v>
      </c>
      <c r="F127" s="2">
        <v>3341</v>
      </c>
      <c r="G127" s="2">
        <v>200.001</v>
      </c>
      <c r="H127" s="2">
        <v>1910.73</v>
      </c>
      <c r="J127" s="1">
        <v>13420</v>
      </c>
      <c r="L127" s="3" t="s">
        <v>278</v>
      </c>
      <c r="M127" s="115">
        <v>45264</v>
      </c>
      <c r="V127" s="4">
        <v>10.46</v>
      </c>
      <c r="W127" s="4">
        <v>0.76200000000000001</v>
      </c>
      <c r="AD127" s="4" t="s">
        <v>277</v>
      </c>
      <c r="AF127" s="1" t="s">
        <v>710</v>
      </c>
      <c r="AG127" s="1" t="s">
        <v>712</v>
      </c>
      <c r="AL127" s="1" t="s">
        <v>708</v>
      </c>
      <c r="AM127" s="99">
        <v>45265</v>
      </c>
      <c r="AP127" s="2">
        <v>3</v>
      </c>
      <c r="AQ127" s="4">
        <v>13.866</v>
      </c>
      <c r="AR127" s="4" t="str">
        <f>IF(ISNA(MATCH($BA127,planas!$BA:$BA,0)),"ne","taip")</f>
        <v>ne</v>
      </c>
      <c r="BA127" s="1" t="s">
        <v>426</v>
      </c>
      <c r="BB127" s="1">
        <f>MOD(SUMPRODUCT(--($T$1:$T126&lt;&gt;$T$2:$T127)),2)</f>
        <v>0</v>
      </c>
    </row>
    <row r="128" spans="1:54" ht="14.4" hidden="1" x14ac:dyDescent="0.3">
      <c r="A128" s="1" t="s">
        <v>294</v>
      </c>
      <c r="B128" s="124" t="s">
        <v>257</v>
      </c>
      <c r="C128" s="1" t="s">
        <v>56</v>
      </c>
      <c r="D128" s="1">
        <v>1</v>
      </c>
      <c r="E128" s="2">
        <v>3630.0230000000001</v>
      </c>
      <c r="F128" s="2">
        <v>5660.9970000000003</v>
      </c>
      <c r="G128" s="2">
        <v>400.00599999999997</v>
      </c>
      <c r="H128" s="2">
        <v>9584.59</v>
      </c>
      <c r="J128" s="1">
        <v>14530</v>
      </c>
      <c r="L128" s="3" t="s">
        <v>775</v>
      </c>
      <c r="M128" s="115">
        <v>45271</v>
      </c>
      <c r="V128" s="4">
        <v>20.55</v>
      </c>
      <c r="W128" s="4">
        <v>3.8980000000000001</v>
      </c>
      <c r="AD128" s="4" t="s">
        <v>277</v>
      </c>
      <c r="AF128" s="1" t="s">
        <v>710</v>
      </c>
      <c r="AG128" s="1" t="s">
        <v>710</v>
      </c>
      <c r="AL128" s="1" t="s">
        <v>708</v>
      </c>
      <c r="AM128" s="99">
        <v>45272</v>
      </c>
      <c r="AP128" s="2">
        <v>1</v>
      </c>
      <c r="AQ128" s="4">
        <v>64.278999999999996</v>
      </c>
      <c r="AR128" s="4" t="str">
        <f>IF(ISNA(MATCH($BA128,planas!$BA:$BA,0)),"ne","taip")</f>
        <v>ne</v>
      </c>
      <c r="BA128" s="1" t="s">
        <v>646</v>
      </c>
      <c r="BB128" s="1">
        <f>MOD(SUMPRODUCT(--($T$1:$T127&lt;&gt;$T$2:$T128)),2)</f>
        <v>0</v>
      </c>
    </row>
    <row r="129" spans="1:54" ht="14.4" hidden="1" x14ac:dyDescent="0.3">
      <c r="A129" s="1" t="s">
        <v>294</v>
      </c>
      <c r="B129" s="124" t="s">
        <v>146</v>
      </c>
      <c r="C129" s="1" t="s">
        <v>56</v>
      </c>
      <c r="D129" s="1">
        <v>4</v>
      </c>
      <c r="E129" s="2">
        <v>2920.0070000000001</v>
      </c>
      <c r="F129" s="2">
        <v>2460</v>
      </c>
      <c r="G129" s="2">
        <v>200.00200000000001</v>
      </c>
      <c r="H129" s="2">
        <v>3385.18</v>
      </c>
      <c r="J129" s="1">
        <v>9920</v>
      </c>
      <c r="L129" s="3" t="s">
        <v>753</v>
      </c>
      <c r="M129" s="115">
        <v>45244</v>
      </c>
      <c r="V129" s="4">
        <v>7.18</v>
      </c>
      <c r="W129" s="4">
        <v>1.375</v>
      </c>
      <c r="AD129" s="4" t="s">
        <v>277</v>
      </c>
      <c r="AF129" s="1" t="s">
        <v>706</v>
      </c>
      <c r="AG129" s="1" t="s">
        <v>713</v>
      </c>
      <c r="AL129" s="1" t="s">
        <v>708</v>
      </c>
      <c r="AM129" s="99">
        <v>45245</v>
      </c>
      <c r="AQ129" s="4">
        <v>31.152999999999999</v>
      </c>
      <c r="AR129" s="4" t="str">
        <f>IF(ISNA(MATCH($BA129,planas!$BA:$BA,0)),"ne","taip")</f>
        <v>ne</v>
      </c>
      <c r="BA129" s="1" t="s">
        <v>479</v>
      </c>
      <c r="BB129" s="1">
        <f>MOD(SUMPRODUCT(--($T$1:$T128&lt;&gt;$T$2:$T129)),2)</f>
        <v>0</v>
      </c>
    </row>
    <row r="130" spans="1:54" ht="14.4" hidden="1" x14ac:dyDescent="0.3">
      <c r="A130" s="1" t="s">
        <v>294</v>
      </c>
      <c r="B130" s="124" t="s">
        <v>269</v>
      </c>
      <c r="C130" s="1" t="s">
        <v>56</v>
      </c>
      <c r="D130" s="1">
        <v>4</v>
      </c>
      <c r="E130" s="2">
        <v>2920</v>
      </c>
      <c r="F130" s="2">
        <v>2531</v>
      </c>
      <c r="G130" s="2">
        <v>200.001</v>
      </c>
      <c r="H130" s="2">
        <v>3588.59</v>
      </c>
      <c r="J130" s="1">
        <v>11190</v>
      </c>
      <c r="L130" s="3" t="s">
        <v>278</v>
      </c>
      <c r="M130" s="115">
        <v>45250</v>
      </c>
      <c r="V130" s="4">
        <v>7.39</v>
      </c>
      <c r="W130" s="4">
        <v>1.4670000000000001</v>
      </c>
      <c r="AD130" s="4" t="s">
        <v>277</v>
      </c>
      <c r="AF130" s="1" t="s">
        <v>712</v>
      </c>
      <c r="AG130" s="1" t="s">
        <v>711</v>
      </c>
      <c r="AL130" s="1" t="s">
        <v>708</v>
      </c>
      <c r="AM130" s="99">
        <v>45251</v>
      </c>
      <c r="AQ130" s="4">
        <v>10.656000000000001</v>
      </c>
      <c r="AR130" s="4" t="str">
        <f>IF(ISNA(MATCH($BA130,planas!$BA:$BA,0)),"ne","taip")</f>
        <v>ne</v>
      </c>
      <c r="BA130" s="1" t="s">
        <v>468</v>
      </c>
      <c r="BB130" s="1">
        <f>MOD(SUMPRODUCT(--($T$1:$T129&lt;&gt;$T$2:$T130)),2)</f>
        <v>0</v>
      </c>
    </row>
    <row r="131" spans="1:54" ht="14.4" hidden="1" x14ac:dyDescent="0.3">
      <c r="A131" s="1" t="s">
        <v>294</v>
      </c>
      <c r="B131" s="124" t="s">
        <v>281</v>
      </c>
      <c r="C131" s="1" t="s">
        <v>56</v>
      </c>
      <c r="D131" s="1">
        <v>1</v>
      </c>
      <c r="E131" s="2">
        <v>1160.001</v>
      </c>
      <c r="F131" s="2">
        <v>3146.0160000000001</v>
      </c>
      <c r="G131" s="2">
        <v>140</v>
      </c>
      <c r="H131" s="2">
        <v>1251.25</v>
      </c>
      <c r="J131" s="1">
        <v>16170</v>
      </c>
      <c r="L131" s="3" t="s">
        <v>278</v>
      </c>
      <c r="M131" s="115">
        <v>45289</v>
      </c>
      <c r="V131" s="4">
        <v>3.65</v>
      </c>
      <c r="W131" s="4">
        <v>0.505</v>
      </c>
      <c r="AD131" s="4" t="s">
        <v>359</v>
      </c>
      <c r="AF131" s="1" t="s">
        <v>710</v>
      </c>
      <c r="AG131" s="1" t="s">
        <v>709</v>
      </c>
      <c r="AL131" s="1" t="s">
        <v>708</v>
      </c>
      <c r="AM131" s="99">
        <v>45287</v>
      </c>
      <c r="AQ131" s="4">
        <v>11.257999999999999</v>
      </c>
      <c r="AR131" s="4" t="str">
        <f>IF(ISNA(MATCH($BA131,planas!$BA:$BA,0)),"ne","taip")</f>
        <v>ne</v>
      </c>
      <c r="BA131" s="1" t="s">
        <v>682</v>
      </c>
      <c r="BB131" s="1">
        <f>MOD(SUMPRODUCT(--($T$1:$T130&lt;&gt;$T$2:$T131)),2)</f>
        <v>0</v>
      </c>
    </row>
    <row r="132" spans="1:54" ht="14.4" hidden="1" x14ac:dyDescent="0.3">
      <c r="A132" s="1" t="s">
        <v>294</v>
      </c>
      <c r="B132" s="124" t="s">
        <v>208</v>
      </c>
      <c r="C132" s="1" t="s">
        <v>56</v>
      </c>
      <c r="D132" s="1">
        <v>3</v>
      </c>
      <c r="E132" s="2">
        <v>3130.0010000000002</v>
      </c>
      <c r="F132" s="2">
        <v>3804.9989999999998</v>
      </c>
      <c r="G132" s="2">
        <v>200.023</v>
      </c>
      <c r="H132" s="2">
        <v>4684.5</v>
      </c>
      <c r="J132" s="1">
        <v>12220</v>
      </c>
      <c r="L132" s="3" t="s">
        <v>753</v>
      </c>
      <c r="M132" s="115">
        <v>45257</v>
      </c>
      <c r="V132" s="4">
        <v>11.91</v>
      </c>
      <c r="W132" s="4">
        <v>1.9039999999999999</v>
      </c>
      <c r="AD132" s="4" t="s">
        <v>277</v>
      </c>
      <c r="AF132" s="1" t="s">
        <v>712</v>
      </c>
      <c r="AG132" s="1" t="s">
        <v>706</v>
      </c>
      <c r="AL132" s="1" t="s">
        <v>708</v>
      </c>
      <c r="AM132" s="99">
        <v>45258</v>
      </c>
      <c r="AP132" s="2">
        <v>1</v>
      </c>
      <c r="AQ132" s="4">
        <v>21.984000000000002</v>
      </c>
      <c r="AR132" s="4" t="str">
        <f>IF(ISNA(MATCH($BA132,planas!$BA:$BA,0)),"ne","taip")</f>
        <v>ne</v>
      </c>
      <c r="BA132" s="1" t="s">
        <v>430</v>
      </c>
      <c r="BB132" s="1">
        <f>MOD(SUMPRODUCT(--($T$1:$T131&lt;&gt;$T$2:$T132)),2)</f>
        <v>0</v>
      </c>
    </row>
    <row r="133" spans="1:54" ht="14.4" hidden="1" x14ac:dyDescent="0.3">
      <c r="A133" s="1" t="s">
        <v>294</v>
      </c>
      <c r="B133" s="124" t="s">
        <v>221</v>
      </c>
      <c r="C133" s="1" t="s">
        <v>56</v>
      </c>
      <c r="D133" s="1">
        <v>1</v>
      </c>
      <c r="E133" s="2">
        <v>3630.0010000000002</v>
      </c>
      <c r="F133" s="2">
        <v>5481.0010000000002</v>
      </c>
      <c r="G133" s="2">
        <v>200.02500000000001</v>
      </c>
      <c r="H133" s="2">
        <v>8528.31</v>
      </c>
      <c r="J133" s="1">
        <v>14520</v>
      </c>
      <c r="L133" s="3" t="s">
        <v>775</v>
      </c>
      <c r="M133" s="115">
        <v>45271</v>
      </c>
      <c r="V133" s="4">
        <v>19.899999999999999</v>
      </c>
      <c r="W133" s="4">
        <v>3.4769999999999999</v>
      </c>
      <c r="AD133" s="4" t="s">
        <v>277</v>
      </c>
      <c r="AF133" s="1" t="s">
        <v>710</v>
      </c>
      <c r="AG133" s="1" t="s">
        <v>710</v>
      </c>
      <c r="AL133" s="1" t="s">
        <v>708</v>
      </c>
      <c r="AM133" s="99">
        <v>45272</v>
      </c>
      <c r="AQ133" s="4">
        <v>34.097000000000001</v>
      </c>
      <c r="AR133" s="4" t="str">
        <f>IF(ISNA(MATCH($BA133,planas!$BA:$BA,0)),"ne","taip")</f>
        <v>ne</v>
      </c>
      <c r="BA133" s="1" t="s">
        <v>634</v>
      </c>
      <c r="BB133" s="1">
        <f>MOD(SUMPRODUCT(--($T$1:$T132&lt;&gt;$T$2:$T133)),2)</f>
        <v>0</v>
      </c>
    </row>
    <row r="134" spans="1:54" ht="14.4" hidden="1" x14ac:dyDescent="0.3">
      <c r="A134" s="1" t="s">
        <v>294</v>
      </c>
      <c r="B134" s="124" t="s">
        <v>213</v>
      </c>
      <c r="C134" s="1" t="s">
        <v>56</v>
      </c>
      <c r="D134" s="1">
        <v>1</v>
      </c>
      <c r="E134" s="2">
        <v>3420.0070000000001</v>
      </c>
      <c r="F134" s="2">
        <v>4560</v>
      </c>
      <c r="G134" s="2">
        <v>200.04</v>
      </c>
      <c r="H134" s="2">
        <v>7477.23</v>
      </c>
      <c r="J134" s="1">
        <v>14510</v>
      </c>
      <c r="L134" s="3" t="s">
        <v>753</v>
      </c>
      <c r="M134" s="115">
        <v>45271</v>
      </c>
      <c r="V134" s="4">
        <v>15.6</v>
      </c>
      <c r="W134" s="4">
        <v>3.0470000000000002</v>
      </c>
      <c r="AD134" s="4" t="s">
        <v>277</v>
      </c>
      <c r="AF134" s="1" t="s">
        <v>710</v>
      </c>
      <c r="AG134" s="1" t="s">
        <v>710</v>
      </c>
      <c r="AL134" s="1" t="s">
        <v>708</v>
      </c>
      <c r="AM134" s="99">
        <v>45272</v>
      </c>
      <c r="AQ134" s="4">
        <v>47.234999999999999</v>
      </c>
      <c r="AR134" s="4" t="str">
        <f>IF(ISNA(MATCH($BA134,planas!$BA:$BA,0)),"ne","taip")</f>
        <v>ne</v>
      </c>
      <c r="BA134" s="1" t="s">
        <v>636</v>
      </c>
      <c r="BB134" s="1">
        <f>MOD(SUMPRODUCT(--($T$1:$T133&lt;&gt;$T$2:$T134)),2)</f>
        <v>0</v>
      </c>
    </row>
    <row r="135" spans="1:54" ht="14.4" hidden="1" x14ac:dyDescent="0.3">
      <c r="A135" s="1" t="s">
        <v>294</v>
      </c>
      <c r="B135" s="124" t="s">
        <v>151</v>
      </c>
      <c r="C135" s="1" t="s">
        <v>56</v>
      </c>
      <c r="D135" s="1">
        <v>1</v>
      </c>
      <c r="E135" s="2">
        <v>3630.0149999999999</v>
      </c>
      <c r="F135" s="2">
        <v>2380.0010000000002</v>
      </c>
      <c r="G135" s="2">
        <v>200.04</v>
      </c>
      <c r="H135" s="2">
        <v>2905.54</v>
      </c>
      <c r="J135" s="1">
        <v>14550</v>
      </c>
      <c r="L135" s="3" t="s">
        <v>753</v>
      </c>
      <c r="M135" s="115">
        <v>45271</v>
      </c>
      <c r="V135" s="4">
        <v>8.64</v>
      </c>
      <c r="W135" s="4">
        <v>1.1619999999999999</v>
      </c>
      <c r="AD135" s="4" t="s">
        <v>277</v>
      </c>
      <c r="AF135" s="1" t="s">
        <v>710</v>
      </c>
      <c r="AG135" s="1" t="s">
        <v>710</v>
      </c>
      <c r="AL135" s="1" t="s">
        <v>708</v>
      </c>
      <c r="AM135" s="99">
        <v>45272</v>
      </c>
      <c r="AP135" s="2">
        <v>2</v>
      </c>
      <c r="AQ135" s="4">
        <v>18.36</v>
      </c>
      <c r="AR135" s="4" t="str">
        <f>IF(ISNA(MATCH($BA135,planas!$BA:$BA,0)),"ne","taip")</f>
        <v>ne</v>
      </c>
      <c r="BA135" s="1" t="s">
        <v>637</v>
      </c>
      <c r="BB135" s="1">
        <f>MOD(SUMPRODUCT(--($T$1:$T134&lt;&gt;$T$2:$T135)),2)</f>
        <v>0</v>
      </c>
    </row>
    <row r="136" spans="1:54" ht="14.4" hidden="1" x14ac:dyDescent="0.3">
      <c r="A136" s="1" t="s">
        <v>294</v>
      </c>
      <c r="B136" s="124" t="s">
        <v>204</v>
      </c>
      <c r="C136" s="1" t="s">
        <v>56</v>
      </c>
      <c r="D136" s="1">
        <v>4</v>
      </c>
      <c r="E136" s="2">
        <v>3130.0010000000002</v>
      </c>
      <c r="F136" s="2">
        <v>2302</v>
      </c>
      <c r="G136" s="2">
        <v>200.00200000000001</v>
      </c>
      <c r="H136" s="2">
        <v>3472.23</v>
      </c>
      <c r="J136" s="1">
        <v>12190</v>
      </c>
      <c r="L136" s="3" t="s">
        <v>278</v>
      </c>
      <c r="M136" s="115">
        <v>45257</v>
      </c>
      <c r="V136" s="4">
        <v>7.21</v>
      </c>
      <c r="W136" s="4">
        <v>1.417</v>
      </c>
      <c r="AD136" s="4" t="s">
        <v>277</v>
      </c>
      <c r="AF136" s="1" t="s">
        <v>712</v>
      </c>
      <c r="AG136" s="1" t="s">
        <v>706</v>
      </c>
      <c r="AL136" s="1" t="s">
        <v>708</v>
      </c>
      <c r="AM136" s="99">
        <v>45258</v>
      </c>
      <c r="AQ136" s="4">
        <v>13.683999999999999</v>
      </c>
      <c r="AR136" s="4" t="str">
        <f>IF(ISNA(MATCH($BA136,planas!$BA:$BA,0)),"ne","taip")</f>
        <v>ne</v>
      </c>
      <c r="BA136" s="1" t="s">
        <v>462</v>
      </c>
      <c r="BB136" s="1">
        <f>MOD(SUMPRODUCT(--($T$1:$T135&lt;&gt;$T$2:$T136)),2)</f>
        <v>0</v>
      </c>
    </row>
    <row r="137" spans="1:54" ht="14.4" hidden="1" x14ac:dyDescent="0.3">
      <c r="A137" s="1" t="s">
        <v>294</v>
      </c>
      <c r="B137" s="124" t="s">
        <v>146</v>
      </c>
      <c r="C137" s="1" t="s">
        <v>56</v>
      </c>
      <c r="D137" s="1">
        <v>4</v>
      </c>
      <c r="E137" s="2">
        <v>2920.0070000000001</v>
      </c>
      <c r="F137" s="2">
        <v>2460</v>
      </c>
      <c r="G137" s="2">
        <v>200.00200000000001</v>
      </c>
      <c r="H137" s="2">
        <v>3385.18</v>
      </c>
      <c r="J137" s="1">
        <v>13270</v>
      </c>
      <c r="L137" s="3" t="s">
        <v>753</v>
      </c>
      <c r="M137" s="115">
        <v>45264</v>
      </c>
      <c r="V137" s="4">
        <v>7.18</v>
      </c>
      <c r="W137" s="4">
        <v>1.375</v>
      </c>
      <c r="AD137" s="4" t="s">
        <v>277</v>
      </c>
      <c r="AF137" s="1" t="s">
        <v>710</v>
      </c>
      <c r="AG137" s="1" t="s">
        <v>712</v>
      </c>
      <c r="AL137" s="1" t="s">
        <v>708</v>
      </c>
      <c r="AM137" s="99">
        <v>45265</v>
      </c>
      <c r="AQ137" s="4">
        <v>31.152999999999999</v>
      </c>
      <c r="AR137" s="4" t="str">
        <f>IF(ISNA(MATCH($BA137,planas!$BA:$BA,0)),"ne","taip")</f>
        <v>ne</v>
      </c>
      <c r="BA137" s="1" t="s">
        <v>487</v>
      </c>
      <c r="BB137" s="1">
        <f>MOD(SUMPRODUCT(--($T$1:$T136&lt;&gt;$T$2:$T137)),2)</f>
        <v>0</v>
      </c>
    </row>
    <row r="138" spans="1:54" ht="14.4" x14ac:dyDescent="0.3">
      <c r="A138" s="1" t="s">
        <v>294</v>
      </c>
      <c r="B138" s="124" t="s">
        <v>384</v>
      </c>
      <c r="C138" s="1" t="s">
        <v>57</v>
      </c>
      <c r="D138" s="1">
        <v>2</v>
      </c>
      <c r="E138" s="2">
        <v>3280.01</v>
      </c>
      <c r="F138" s="2">
        <v>4679.9870000000001</v>
      </c>
      <c r="G138" s="2">
        <v>595.01099999999997</v>
      </c>
      <c r="H138" s="2">
        <v>5558.09</v>
      </c>
      <c r="J138" s="1">
        <v>13090</v>
      </c>
      <c r="K138" s="3">
        <v>45149</v>
      </c>
      <c r="L138" s="3" t="s">
        <v>349</v>
      </c>
      <c r="M138" s="115">
        <v>45261</v>
      </c>
      <c r="V138" s="4">
        <v>15.35</v>
      </c>
      <c r="W138" s="4">
        <v>2.1720000000000002</v>
      </c>
      <c r="AC138" s="1">
        <v>2</v>
      </c>
      <c r="AD138" s="4" t="s">
        <v>584</v>
      </c>
      <c r="AF138" s="1" t="s">
        <v>710</v>
      </c>
      <c r="AG138" s="1" t="s">
        <v>712</v>
      </c>
      <c r="AL138" s="1" t="s">
        <v>708</v>
      </c>
      <c r="AM138" s="99">
        <v>45264</v>
      </c>
      <c r="AP138" s="2">
        <v>1</v>
      </c>
      <c r="AQ138" s="4">
        <v>22.518999999999998</v>
      </c>
      <c r="AR138" s="4" t="str">
        <f>IF(ISNA(MATCH($BA138,planas!$BA:$BA,0)),"ne","taip")</f>
        <v>ne</v>
      </c>
      <c r="BA138" s="1" t="s">
        <v>552</v>
      </c>
      <c r="BB138" s="1">
        <f>MOD(SUMPRODUCT(--($T$1:$T137&lt;&gt;$T$2:$T138)),2)</f>
        <v>0</v>
      </c>
    </row>
    <row r="139" spans="1:54" ht="14.4" hidden="1" x14ac:dyDescent="0.3">
      <c r="A139" s="1" t="s">
        <v>294</v>
      </c>
      <c r="B139" s="124" t="s">
        <v>214</v>
      </c>
      <c r="C139" s="1" t="s">
        <v>56</v>
      </c>
      <c r="D139" s="1">
        <v>1</v>
      </c>
      <c r="E139" s="2">
        <v>3130.0070000000001</v>
      </c>
      <c r="F139" s="2">
        <v>5980</v>
      </c>
      <c r="G139" s="2">
        <v>200.03700000000001</v>
      </c>
      <c r="H139" s="2">
        <v>7584.25</v>
      </c>
      <c r="J139" s="1">
        <v>15430</v>
      </c>
      <c r="L139" s="3" t="s">
        <v>753</v>
      </c>
      <c r="M139" s="115">
        <v>45275</v>
      </c>
      <c r="V139" s="4">
        <v>18.72</v>
      </c>
      <c r="W139" s="4">
        <v>3.097</v>
      </c>
      <c r="AD139" s="4" t="s">
        <v>277</v>
      </c>
      <c r="AF139" s="1" t="s">
        <v>710</v>
      </c>
      <c r="AG139" s="1" t="s">
        <v>707</v>
      </c>
      <c r="AL139" s="1" t="s">
        <v>708</v>
      </c>
      <c r="AM139" s="99">
        <v>45278</v>
      </c>
      <c r="AP139" s="2">
        <v>1</v>
      </c>
      <c r="AQ139" s="4">
        <v>17.045999999999999</v>
      </c>
      <c r="AR139" s="4" t="str">
        <f>IF(ISNA(MATCH($BA139,planas!$BA:$BA,0)),"ne","taip")</f>
        <v>ne</v>
      </c>
      <c r="BA139" s="1" t="s">
        <v>662</v>
      </c>
      <c r="BB139" s="1">
        <f>MOD(SUMPRODUCT(--($T$1:$T138&lt;&gt;$T$2:$T139)),2)</f>
        <v>0</v>
      </c>
    </row>
    <row r="140" spans="1:54" ht="14.4" hidden="1" x14ac:dyDescent="0.3">
      <c r="A140" s="1" t="s">
        <v>294</v>
      </c>
      <c r="B140" s="124" t="s">
        <v>333</v>
      </c>
      <c r="C140" s="1" t="s">
        <v>57</v>
      </c>
      <c r="D140" s="1">
        <v>1</v>
      </c>
      <c r="E140" s="2">
        <v>3130.009</v>
      </c>
      <c r="F140" s="2">
        <v>6160.0020000000004</v>
      </c>
      <c r="G140" s="2">
        <v>595.01700000000005</v>
      </c>
      <c r="H140" s="2">
        <v>9653.2099999999991</v>
      </c>
      <c r="J140" s="1">
        <v>14340</v>
      </c>
      <c r="L140" s="3" t="s">
        <v>349</v>
      </c>
      <c r="M140" s="115">
        <v>45268</v>
      </c>
      <c r="V140" s="4">
        <v>19.28</v>
      </c>
      <c r="W140" s="4">
        <v>3.8290000000000002</v>
      </c>
      <c r="AD140" s="4" t="s">
        <v>584</v>
      </c>
      <c r="AF140" s="1" t="s">
        <v>710</v>
      </c>
      <c r="AG140" s="1" t="s">
        <v>710</v>
      </c>
      <c r="AL140" s="1" t="s">
        <v>708</v>
      </c>
      <c r="AM140" s="99">
        <v>45271</v>
      </c>
      <c r="AP140" s="2">
        <v>1</v>
      </c>
      <c r="AQ140" s="4">
        <v>65.617999999999995</v>
      </c>
      <c r="AR140" s="4" t="str">
        <f>IF(ISNA(MATCH($BA140,planas!$BA:$BA,0)),"ne","taip")</f>
        <v>ne</v>
      </c>
      <c r="BA140" s="1" t="s">
        <v>626</v>
      </c>
      <c r="BB140" s="1">
        <f>MOD(SUMPRODUCT(--($T$1:$T139&lt;&gt;$T$2:$T140)),2)</f>
        <v>0</v>
      </c>
    </row>
    <row r="141" spans="1:54" ht="14.4" hidden="1" x14ac:dyDescent="0.3">
      <c r="A141" s="1" t="s">
        <v>294</v>
      </c>
      <c r="B141" s="124" t="s">
        <v>211</v>
      </c>
      <c r="C141" s="1" t="s">
        <v>56</v>
      </c>
      <c r="D141" s="1">
        <v>4</v>
      </c>
      <c r="E141" s="2">
        <v>3130</v>
      </c>
      <c r="F141" s="2">
        <v>1560</v>
      </c>
      <c r="G141" s="2">
        <v>200</v>
      </c>
      <c r="H141" s="2">
        <v>2369.6799999999998</v>
      </c>
      <c r="J141" s="1">
        <v>11220</v>
      </c>
      <c r="L141" s="3" t="s">
        <v>753</v>
      </c>
      <c r="M141" s="115">
        <v>45250</v>
      </c>
      <c r="V141" s="4">
        <v>4.88</v>
      </c>
      <c r="W141" s="4">
        <v>0.96899999999999997</v>
      </c>
      <c r="AD141" s="4" t="s">
        <v>277</v>
      </c>
      <c r="AF141" s="1" t="s">
        <v>712</v>
      </c>
      <c r="AG141" s="1" t="s">
        <v>711</v>
      </c>
      <c r="AL141" s="1" t="s">
        <v>708</v>
      </c>
      <c r="AM141" s="99">
        <v>45251</v>
      </c>
      <c r="AQ141" s="4">
        <v>5.7160000000000002</v>
      </c>
      <c r="AR141" s="4" t="str">
        <f>IF(ISNA(MATCH($BA141,planas!$BA:$BA,0)),"ne","taip")</f>
        <v>ne</v>
      </c>
      <c r="BA141" s="1" t="s">
        <v>431</v>
      </c>
      <c r="BB141" s="1">
        <f>MOD(SUMPRODUCT(--($T$1:$T140&lt;&gt;$T$2:$T141)),2)</f>
        <v>0</v>
      </c>
    </row>
    <row r="142" spans="1:54" ht="14.4" hidden="1" x14ac:dyDescent="0.3">
      <c r="A142" s="1" t="s">
        <v>294</v>
      </c>
      <c r="B142" s="124" t="s">
        <v>224</v>
      </c>
      <c r="C142" s="1" t="s">
        <v>56</v>
      </c>
      <c r="D142" s="1">
        <v>4</v>
      </c>
      <c r="E142" s="2">
        <v>2920.0070000000001</v>
      </c>
      <c r="F142" s="2">
        <v>3845</v>
      </c>
      <c r="G142" s="2">
        <v>200.00299999999999</v>
      </c>
      <c r="H142" s="2">
        <v>5406.34</v>
      </c>
      <c r="J142" s="1">
        <v>9970</v>
      </c>
      <c r="L142" s="3" t="s">
        <v>753</v>
      </c>
      <c r="M142" s="115">
        <v>45244</v>
      </c>
      <c r="V142" s="4">
        <v>11.23</v>
      </c>
      <c r="W142" s="4">
        <v>2.202</v>
      </c>
      <c r="AD142" s="4" t="s">
        <v>277</v>
      </c>
      <c r="AF142" s="1" t="s">
        <v>706</v>
      </c>
      <c r="AG142" s="1" t="s">
        <v>713</v>
      </c>
      <c r="AL142" s="1" t="s">
        <v>708</v>
      </c>
      <c r="AM142" s="99">
        <v>45245</v>
      </c>
      <c r="AQ142" s="4">
        <v>30.431000000000001</v>
      </c>
      <c r="AR142" s="4" t="str">
        <f>IF(ISNA(MATCH($BA142,planas!$BA:$BA,0)),"ne","taip")</f>
        <v>ne</v>
      </c>
      <c r="BA142" s="1" t="s">
        <v>434</v>
      </c>
      <c r="BB142" s="1">
        <f>MOD(SUMPRODUCT(--($T$1:$T141&lt;&gt;$T$2:$T142)),2)</f>
        <v>0</v>
      </c>
    </row>
    <row r="143" spans="1:54" ht="14.4" hidden="1" x14ac:dyDescent="0.3">
      <c r="A143" s="1" t="s">
        <v>294</v>
      </c>
      <c r="B143" s="124" t="s">
        <v>352</v>
      </c>
      <c r="C143" s="1" t="s">
        <v>57</v>
      </c>
      <c r="D143" s="1">
        <v>2</v>
      </c>
      <c r="E143" s="2">
        <v>3280.0210000000002</v>
      </c>
      <c r="F143" s="2">
        <v>7260.0039999999999</v>
      </c>
      <c r="G143" s="2">
        <v>595.01099999999997</v>
      </c>
      <c r="H143" s="2">
        <v>11182.31</v>
      </c>
      <c r="J143" s="1">
        <v>11960</v>
      </c>
      <c r="L143" s="3" t="s">
        <v>348</v>
      </c>
      <c r="M143" s="115">
        <v>45254</v>
      </c>
      <c r="V143" s="4">
        <v>23.81</v>
      </c>
      <c r="W143" s="4">
        <v>4.4109999999999996</v>
      </c>
      <c r="AD143" s="4" t="s">
        <v>584</v>
      </c>
      <c r="AF143" s="1" t="s">
        <v>712</v>
      </c>
      <c r="AG143" s="1" t="s">
        <v>706</v>
      </c>
      <c r="AL143" s="1" t="s">
        <v>708</v>
      </c>
      <c r="AM143" s="99">
        <v>45257</v>
      </c>
      <c r="AP143" s="2">
        <v>2</v>
      </c>
      <c r="AQ143" s="4">
        <v>31.504999999999999</v>
      </c>
      <c r="AR143" s="4" t="str">
        <f>IF(ISNA(MATCH($BA143,planas!$BA:$BA,0)),"ne","taip")</f>
        <v>ne</v>
      </c>
      <c r="BA143" s="1" t="s">
        <v>566</v>
      </c>
      <c r="BB143" s="1">
        <f>MOD(SUMPRODUCT(--($T$1:$T142&lt;&gt;$T$2:$T143)),2)</f>
        <v>0</v>
      </c>
    </row>
    <row r="144" spans="1:54" ht="14.4" hidden="1" x14ac:dyDescent="0.3">
      <c r="A144" s="1" t="s">
        <v>294</v>
      </c>
      <c r="B144" s="124" t="s">
        <v>194</v>
      </c>
      <c r="C144" s="1" t="s">
        <v>56</v>
      </c>
      <c r="D144" s="1">
        <v>1</v>
      </c>
      <c r="E144" s="2">
        <v>3630</v>
      </c>
      <c r="F144" s="2">
        <v>2531</v>
      </c>
      <c r="G144" s="2">
        <v>200</v>
      </c>
      <c r="H144" s="2">
        <v>4460.0600000000004</v>
      </c>
      <c r="J144" s="1">
        <v>14580</v>
      </c>
      <c r="L144" s="3" t="s">
        <v>278</v>
      </c>
      <c r="M144" s="115">
        <v>45271</v>
      </c>
      <c r="V144" s="4">
        <v>9.19</v>
      </c>
      <c r="W144" s="4">
        <v>1.8240000000000001</v>
      </c>
      <c r="AD144" s="4" t="s">
        <v>277</v>
      </c>
      <c r="AF144" s="1" t="s">
        <v>710</v>
      </c>
      <c r="AG144" s="1" t="s">
        <v>710</v>
      </c>
      <c r="AL144" s="1" t="s">
        <v>708</v>
      </c>
      <c r="AM144" s="99">
        <v>45272</v>
      </c>
      <c r="AQ144" s="4">
        <v>10.656000000000001</v>
      </c>
      <c r="AR144" s="4" t="str">
        <f>IF(ISNA(MATCH($BA144,planas!$BA:$BA,0)),"ne","taip")</f>
        <v>ne</v>
      </c>
      <c r="BA144" s="1" t="s">
        <v>503</v>
      </c>
      <c r="BB144" s="1">
        <f>MOD(SUMPRODUCT(--($T$1:$T143&lt;&gt;$T$2:$T144)),2)</f>
        <v>0</v>
      </c>
    </row>
    <row r="145" spans="1:54" ht="14.4" hidden="1" x14ac:dyDescent="0.3">
      <c r="A145" s="1" t="s">
        <v>294</v>
      </c>
      <c r="B145" s="124" t="s">
        <v>507</v>
      </c>
      <c r="C145" s="1" t="s">
        <v>57</v>
      </c>
      <c r="D145" s="1">
        <v>1</v>
      </c>
      <c r="E145" s="2">
        <v>3270.0070000000001</v>
      </c>
      <c r="F145" s="2">
        <v>6410.0159999999996</v>
      </c>
      <c r="G145" s="2">
        <v>595.00099999999998</v>
      </c>
      <c r="H145" s="2">
        <v>7670.27</v>
      </c>
      <c r="J145" s="1">
        <v>8670</v>
      </c>
      <c r="L145" s="3" t="s">
        <v>349</v>
      </c>
      <c r="M145" s="115">
        <v>45236</v>
      </c>
      <c r="V145" s="4">
        <v>20.96</v>
      </c>
      <c r="W145" s="4">
        <v>2.98</v>
      </c>
      <c r="AD145" s="4" t="s">
        <v>584</v>
      </c>
      <c r="AF145" s="1" t="s">
        <v>706</v>
      </c>
      <c r="AG145" s="1" t="s">
        <v>755</v>
      </c>
      <c r="AL145" s="1" t="s">
        <v>708</v>
      </c>
      <c r="AM145" s="99">
        <v>45237</v>
      </c>
      <c r="AP145" s="2">
        <v>2</v>
      </c>
      <c r="AQ145" s="4">
        <v>33.042000000000002</v>
      </c>
      <c r="AR145" s="4" t="str">
        <f>IF(ISNA(MATCH($BA145,planas!$BA:$BA,0)),"ne","taip")</f>
        <v>ne</v>
      </c>
      <c r="BA145" s="1" t="s">
        <v>506</v>
      </c>
      <c r="BB145" s="1">
        <f>MOD(SUMPRODUCT(--($T$1:$T144&lt;&gt;$T$2:$T145)),2)</f>
        <v>0</v>
      </c>
    </row>
    <row r="146" spans="1:54" ht="14.4" hidden="1" x14ac:dyDescent="0.3">
      <c r="A146" s="1" t="s">
        <v>294</v>
      </c>
      <c r="B146" s="124" t="s">
        <v>334</v>
      </c>
      <c r="C146" s="1" t="s">
        <v>57</v>
      </c>
      <c r="D146" s="1">
        <v>2</v>
      </c>
      <c r="E146" s="2">
        <v>3130.0210000000002</v>
      </c>
      <c r="F146" s="2">
        <v>6030.0010000000002</v>
      </c>
      <c r="G146" s="2">
        <v>595</v>
      </c>
      <c r="H146" s="2">
        <v>8031.53</v>
      </c>
      <c r="J146" s="1">
        <v>7070</v>
      </c>
      <c r="L146" s="3" t="s">
        <v>349</v>
      </c>
      <c r="M146" s="115">
        <v>45219</v>
      </c>
      <c r="V146" s="4">
        <v>18.87</v>
      </c>
      <c r="W146" s="4">
        <v>3.165</v>
      </c>
      <c r="AD146" s="4" t="s">
        <v>584</v>
      </c>
      <c r="AF146" s="1" t="s">
        <v>711</v>
      </c>
      <c r="AG146" s="1" t="s">
        <v>707</v>
      </c>
      <c r="AL146" s="1" t="s">
        <v>708</v>
      </c>
      <c r="AM146" s="99">
        <v>45222</v>
      </c>
      <c r="AP146" s="2">
        <v>2</v>
      </c>
      <c r="AQ146" s="4">
        <v>70.453999999999994</v>
      </c>
      <c r="AR146" s="4" t="str">
        <f>IF(ISNA(MATCH($BA146,planas!$BA:$BA,0)),"ne","taip")</f>
        <v>ne</v>
      </c>
      <c r="BA146" s="1" t="s">
        <v>361</v>
      </c>
      <c r="BB146" s="1">
        <f>MOD(SUMPRODUCT(--($T$1:$T145&lt;&gt;$T$2:$T146)),2)</f>
        <v>0</v>
      </c>
    </row>
    <row r="147" spans="1:54" ht="14.4" hidden="1" x14ac:dyDescent="0.3">
      <c r="A147" s="1" t="s">
        <v>294</v>
      </c>
      <c r="B147" s="124" t="s">
        <v>371</v>
      </c>
      <c r="C147" s="1" t="s">
        <v>56</v>
      </c>
      <c r="D147" s="1">
        <v>2</v>
      </c>
      <c r="E147" s="2">
        <v>1160</v>
      </c>
      <c r="F147" s="2">
        <v>7775.9859999999999</v>
      </c>
      <c r="G147" s="2">
        <v>140</v>
      </c>
      <c r="H147" s="2">
        <v>3112.07</v>
      </c>
      <c r="J147" s="1">
        <v>16180</v>
      </c>
      <c r="L147" s="3" t="s">
        <v>278</v>
      </c>
      <c r="M147" s="115">
        <v>45290</v>
      </c>
      <c r="V147" s="4">
        <v>9.02</v>
      </c>
      <c r="W147" s="4">
        <v>1.2569999999999999</v>
      </c>
      <c r="AD147" s="4" t="s">
        <v>359</v>
      </c>
      <c r="AF147" s="1" t="s">
        <v>710</v>
      </c>
      <c r="AG147" s="1" t="s">
        <v>709</v>
      </c>
      <c r="AL147" s="1" t="s">
        <v>708</v>
      </c>
      <c r="AM147" s="99">
        <v>45287</v>
      </c>
      <c r="AQ147" s="4">
        <v>29.251999999999999</v>
      </c>
      <c r="AR147" s="4" t="str">
        <f>IF(ISNA(MATCH($BA147,planas!$BA:$BA,0)),"ne","taip")</f>
        <v>ne</v>
      </c>
      <c r="BA147" s="1" t="s">
        <v>688</v>
      </c>
      <c r="BB147" s="1">
        <f>MOD(SUMPRODUCT(--($T$1:$T146&lt;&gt;$T$2:$T147)),2)</f>
        <v>0</v>
      </c>
    </row>
    <row r="148" spans="1:54" ht="14.4" hidden="1" x14ac:dyDescent="0.3">
      <c r="A148" s="1" t="s">
        <v>294</v>
      </c>
      <c r="B148" s="124" t="s">
        <v>183</v>
      </c>
      <c r="C148" s="1" t="s">
        <v>56</v>
      </c>
      <c r="D148" s="1">
        <v>4</v>
      </c>
      <c r="E148" s="2">
        <v>2920.0070000000001</v>
      </c>
      <c r="F148" s="2">
        <v>2460</v>
      </c>
      <c r="G148" s="2">
        <v>200.00299999999999</v>
      </c>
      <c r="H148" s="2">
        <v>3395.42</v>
      </c>
      <c r="J148" s="1">
        <v>11070</v>
      </c>
      <c r="L148" s="3" t="s">
        <v>753</v>
      </c>
      <c r="M148" s="115">
        <v>45250</v>
      </c>
      <c r="V148" s="4">
        <v>7.18</v>
      </c>
      <c r="W148" s="4">
        <v>1.3740000000000001</v>
      </c>
      <c r="AD148" s="4" t="s">
        <v>277</v>
      </c>
      <c r="AF148" s="1" t="s">
        <v>712</v>
      </c>
      <c r="AG148" s="1" t="s">
        <v>711</v>
      </c>
      <c r="AL148" s="1" t="s">
        <v>708</v>
      </c>
      <c r="AM148" s="99">
        <v>45251</v>
      </c>
      <c r="AQ148" s="4">
        <v>32.081000000000003</v>
      </c>
      <c r="AR148" s="4" t="str">
        <f>IF(ISNA(MATCH($BA148,planas!$BA:$BA,0)),"ne","taip")</f>
        <v>ne</v>
      </c>
      <c r="BA148" s="1" t="s">
        <v>471</v>
      </c>
      <c r="BB148" s="1">
        <f>MOD(SUMPRODUCT(--($T$1:$T147&lt;&gt;$T$2:$T148)),2)</f>
        <v>0</v>
      </c>
    </row>
    <row r="149" spans="1:54" ht="14.4" hidden="1" x14ac:dyDescent="0.3">
      <c r="A149" s="1" t="s">
        <v>294</v>
      </c>
      <c r="B149" s="124" t="s">
        <v>492</v>
      </c>
      <c r="C149" s="1" t="s">
        <v>57</v>
      </c>
      <c r="D149" s="1">
        <v>1</v>
      </c>
      <c r="E149" s="2">
        <v>3780.0070000000001</v>
      </c>
      <c r="F149" s="2">
        <v>2239.9989999999998</v>
      </c>
      <c r="G149" s="2">
        <v>545.00699999999995</v>
      </c>
      <c r="H149" s="2">
        <v>3984.46</v>
      </c>
      <c r="J149" s="1">
        <v>14260</v>
      </c>
      <c r="L149" s="3" t="s">
        <v>349</v>
      </c>
      <c r="M149" s="115">
        <v>45268</v>
      </c>
      <c r="V149" s="4">
        <v>8.4700000000000006</v>
      </c>
      <c r="W149" s="4">
        <v>1.577</v>
      </c>
      <c r="AD149" s="4" t="s">
        <v>584</v>
      </c>
      <c r="AF149" s="1" t="s">
        <v>710</v>
      </c>
      <c r="AG149" s="1" t="s">
        <v>710</v>
      </c>
      <c r="AL149" s="1" t="s">
        <v>708</v>
      </c>
      <c r="AM149" s="99">
        <v>45271</v>
      </c>
      <c r="AQ149" s="4">
        <v>27.538</v>
      </c>
      <c r="AR149" s="4" t="str">
        <f>IF(ISNA(MATCH($BA149,planas!$BA:$BA,0)),"ne","taip")</f>
        <v>ne</v>
      </c>
      <c r="BA149" s="1" t="s">
        <v>622</v>
      </c>
      <c r="BB149" s="1">
        <f>MOD(SUMPRODUCT(--($T$1:$T148&lt;&gt;$T$2:$T149)),2)</f>
        <v>0</v>
      </c>
    </row>
    <row r="150" spans="1:54" ht="14.4" hidden="1" x14ac:dyDescent="0.3">
      <c r="A150" s="1" t="s">
        <v>294</v>
      </c>
      <c r="B150" s="124" t="s">
        <v>187</v>
      </c>
      <c r="C150" s="1" t="s">
        <v>56</v>
      </c>
      <c r="D150" s="1">
        <v>4</v>
      </c>
      <c r="E150" s="2">
        <v>2920.0070000000001</v>
      </c>
      <c r="F150" s="2">
        <v>4145</v>
      </c>
      <c r="G150" s="2">
        <v>200.00299999999999</v>
      </c>
      <c r="H150" s="2">
        <v>5884.73</v>
      </c>
      <c r="J150" s="1">
        <v>13350</v>
      </c>
      <c r="L150" s="3" t="s">
        <v>753</v>
      </c>
      <c r="M150" s="115">
        <v>45264</v>
      </c>
      <c r="V150" s="4">
        <v>12.1</v>
      </c>
      <c r="W150" s="4">
        <v>2.4060000000000001</v>
      </c>
      <c r="AD150" s="4" t="s">
        <v>277</v>
      </c>
      <c r="AF150" s="1" t="s">
        <v>710</v>
      </c>
      <c r="AG150" s="1" t="s">
        <v>712</v>
      </c>
      <c r="AL150" s="1" t="s">
        <v>708</v>
      </c>
      <c r="AM150" s="99">
        <v>45265</v>
      </c>
      <c r="AQ150" s="4">
        <v>16.251000000000001</v>
      </c>
      <c r="AR150" s="4" t="str">
        <f>IF(ISNA(MATCH($BA150,planas!$BA:$BA,0)),"ne","taip")</f>
        <v>ne</v>
      </c>
      <c r="BA150" s="1" t="s">
        <v>395</v>
      </c>
      <c r="BB150" s="1">
        <f>MOD(SUMPRODUCT(--($T$1:$T149&lt;&gt;$T$2:$T150)),2)</f>
        <v>0</v>
      </c>
    </row>
    <row r="151" spans="1:54" ht="14.4" hidden="1" x14ac:dyDescent="0.3">
      <c r="A151" s="1" t="s">
        <v>294</v>
      </c>
      <c r="B151" s="124" t="s">
        <v>344</v>
      </c>
      <c r="C151" s="1" t="s">
        <v>57</v>
      </c>
      <c r="D151" s="1">
        <v>2</v>
      </c>
      <c r="E151" s="2">
        <v>3130.0210000000002</v>
      </c>
      <c r="F151" s="2">
        <v>7134.9970000000003</v>
      </c>
      <c r="G151" s="2">
        <v>595</v>
      </c>
      <c r="H151" s="2">
        <v>8693.52</v>
      </c>
      <c r="J151" s="1">
        <v>7080</v>
      </c>
      <c r="L151" s="3" t="s">
        <v>348</v>
      </c>
      <c r="M151" s="115">
        <v>45219</v>
      </c>
      <c r="V151" s="4">
        <v>22.33</v>
      </c>
      <c r="W151" s="4">
        <v>3.4329999999999998</v>
      </c>
      <c r="AD151" s="4" t="s">
        <v>584</v>
      </c>
      <c r="AF151" s="1" t="s">
        <v>711</v>
      </c>
      <c r="AG151" s="1" t="s">
        <v>707</v>
      </c>
      <c r="AL151" s="1" t="s">
        <v>280</v>
      </c>
      <c r="AM151" s="99">
        <v>45222</v>
      </c>
      <c r="AP151" s="2">
        <v>2</v>
      </c>
      <c r="AQ151" s="4">
        <v>56.485999999999997</v>
      </c>
      <c r="AR151" s="4" t="str">
        <f>IF(ISNA(MATCH($BA151,planas!$BA:$BA,0)),"ne","taip")</f>
        <v>ne</v>
      </c>
      <c r="BA151" s="1" t="s">
        <v>357</v>
      </c>
      <c r="BB151" s="1">
        <f>MOD(SUMPRODUCT(--($T$1:$T150&lt;&gt;$T$2:$T151)),2)</f>
        <v>0</v>
      </c>
    </row>
    <row r="152" spans="1:54" ht="14.4" x14ac:dyDescent="0.3">
      <c r="A152" s="1" t="s">
        <v>294</v>
      </c>
      <c r="B152" s="124" t="s">
        <v>207</v>
      </c>
      <c r="C152" s="1" t="s">
        <v>56</v>
      </c>
      <c r="D152" s="1">
        <v>1</v>
      </c>
      <c r="E152" s="2">
        <v>3420.0070000000001</v>
      </c>
      <c r="F152" s="2">
        <v>3845</v>
      </c>
      <c r="G152" s="2">
        <v>200.00299999999999</v>
      </c>
      <c r="H152" s="2">
        <v>6344.49</v>
      </c>
      <c r="J152" s="1">
        <v>6170</v>
      </c>
      <c r="K152" s="3">
        <v>45159</v>
      </c>
      <c r="L152" s="3" t="s">
        <v>753</v>
      </c>
      <c r="M152" s="115">
        <v>45215</v>
      </c>
      <c r="V152" s="4">
        <v>13.15</v>
      </c>
      <c r="W152" s="4">
        <v>2.5840000000000001</v>
      </c>
      <c r="AC152" s="1">
        <v>2</v>
      </c>
      <c r="AD152" s="4" t="s">
        <v>277</v>
      </c>
      <c r="AF152" s="1" t="s">
        <v>711</v>
      </c>
      <c r="AG152" s="1" t="s">
        <v>710</v>
      </c>
      <c r="AL152" s="1" t="s">
        <v>708</v>
      </c>
      <c r="AM152" s="99">
        <v>45216</v>
      </c>
      <c r="AQ152" s="4">
        <v>36.18</v>
      </c>
      <c r="AR152" s="4" t="str">
        <f>IF(ISNA(MATCH($BA152,planas!$BA:$BA,0)),"ne","taip")</f>
        <v>ne</v>
      </c>
      <c r="BA152" s="1" t="s">
        <v>764</v>
      </c>
      <c r="BB152" s="1">
        <f>MOD(SUMPRODUCT(--($T$1:$T151&lt;&gt;$T$2:$T152)),2)</f>
        <v>0</v>
      </c>
    </row>
    <row r="153" spans="1:54" ht="14.4" hidden="1" x14ac:dyDescent="0.3">
      <c r="A153" s="1" t="s">
        <v>294</v>
      </c>
      <c r="B153" s="124" t="s">
        <v>212</v>
      </c>
      <c r="C153" s="1" t="s">
        <v>56</v>
      </c>
      <c r="D153" s="1">
        <v>4</v>
      </c>
      <c r="E153" s="2">
        <v>3130</v>
      </c>
      <c r="F153" s="2">
        <v>1560</v>
      </c>
      <c r="G153" s="2">
        <v>200</v>
      </c>
      <c r="H153" s="2">
        <v>2369.6799999999998</v>
      </c>
      <c r="J153" s="1">
        <v>10080</v>
      </c>
      <c r="L153" s="3" t="s">
        <v>753</v>
      </c>
      <c r="M153" s="115">
        <v>45244</v>
      </c>
      <c r="V153" s="4">
        <v>4.88</v>
      </c>
      <c r="W153" s="4">
        <v>0.96899999999999997</v>
      </c>
      <c r="AD153" s="4" t="s">
        <v>277</v>
      </c>
      <c r="AF153" s="1" t="s">
        <v>706</v>
      </c>
      <c r="AG153" s="1" t="s">
        <v>713</v>
      </c>
      <c r="AL153" s="1" t="s">
        <v>708</v>
      </c>
      <c r="AM153" s="99">
        <v>45245</v>
      </c>
      <c r="AQ153" s="4">
        <v>5.7160000000000002</v>
      </c>
      <c r="AR153" s="4" t="str">
        <f>IF(ISNA(MATCH($BA153,planas!$BA:$BA,0)),"ne","taip")</f>
        <v>ne</v>
      </c>
      <c r="BA153" s="1" t="s">
        <v>393</v>
      </c>
      <c r="BB153" s="1">
        <f>MOD(SUMPRODUCT(--($T$1:$T152&lt;&gt;$T$2:$T153)),2)</f>
        <v>0</v>
      </c>
    </row>
    <row r="154" spans="1:54" ht="14.4" x14ac:dyDescent="0.3">
      <c r="A154" s="1" t="s">
        <v>294</v>
      </c>
      <c r="B154" s="124" t="s">
        <v>287</v>
      </c>
      <c r="C154" s="1" t="s">
        <v>56</v>
      </c>
      <c r="D154" s="1">
        <v>2</v>
      </c>
      <c r="E154" s="2">
        <v>1160</v>
      </c>
      <c r="F154" s="2">
        <v>6575</v>
      </c>
      <c r="G154" s="2">
        <v>140</v>
      </c>
      <c r="H154" s="2">
        <v>2622.99</v>
      </c>
      <c r="J154" s="1">
        <v>7900</v>
      </c>
      <c r="K154" s="3">
        <v>45167</v>
      </c>
      <c r="L154" s="3" t="s">
        <v>753</v>
      </c>
      <c r="M154" s="115">
        <v>45226</v>
      </c>
      <c r="V154" s="4">
        <v>7.63</v>
      </c>
      <c r="W154" s="4">
        <v>1.0609999999999999</v>
      </c>
      <c r="AC154" s="1">
        <v>2</v>
      </c>
      <c r="AD154" s="4" t="s">
        <v>359</v>
      </c>
      <c r="AF154" s="1" t="s">
        <v>711</v>
      </c>
      <c r="AG154" s="1" t="s">
        <v>709</v>
      </c>
      <c r="AL154" s="1" t="s">
        <v>708</v>
      </c>
      <c r="AM154" s="99">
        <v>45229</v>
      </c>
      <c r="AQ154" s="4">
        <v>22.06</v>
      </c>
      <c r="AR154" s="4" t="str">
        <f>IF(ISNA(MATCH($BA154,planas!$BA:$BA,0)),"ne","taip")</f>
        <v>ne</v>
      </c>
      <c r="BA154" s="1" t="s">
        <v>386</v>
      </c>
      <c r="BB154" s="1">
        <f>MOD(SUMPRODUCT(--($T$1:$T153&lt;&gt;$T$2:$T154)),2)</f>
        <v>0</v>
      </c>
    </row>
    <row r="155" spans="1:54" ht="14.4" x14ac:dyDescent="0.3">
      <c r="A155" s="1" t="s">
        <v>294</v>
      </c>
      <c r="B155" s="124" t="s">
        <v>141</v>
      </c>
      <c r="C155" s="1" t="s">
        <v>56</v>
      </c>
      <c r="D155" s="1">
        <v>1</v>
      </c>
      <c r="E155" s="2">
        <v>3400.0010000000002</v>
      </c>
      <c r="F155" s="2">
        <v>2081</v>
      </c>
      <c r="G155" s="2">
        <v>200.00200000000001</v>
      </c>
      <c r="H155" s="2">
        <v>3442.29</v>
      </c>
      <c r="J155" s="1">
        <v>6280</v>
      </c>
      <c r="K155" s="3">
        <v>45159</v>
      </c>
      <c r="L155" s="3" t="s">
        <v>278</v>
      </c>
      <c r="M155" s="115">
        <v>45215</v>
      </c>
      <c r="V155" s="4">
        <v>7.08</v>
      </c>
      <c r="W155" s="4">
        <v>1.4059999999999999</v>
      </c>
      <c r="AC155" s="1">
        <v>2</v>
      </c>
      <c r="AD155" s="4" t="s">
        <v>277</v>
      </c>
      <c r="AF155" s="1" t="s">
        <v>711</v>
      </c>
      <c r="AG155" s="1" t="s">
        <v>710</v>
      </c>
      <c r="AL155" s="1" t="s">
        <v>708</v>
      </c>
      <c r="AM155" s="99">
        <v>45216</v>
      </c>
      <c r="AQ155" s="4">
        <v>10.102</v>
      </c>
      <c r="AR155" s="4" t="str">
        <f>IF(ISNA(MATCH($BA155,planas!$BA:$BA,0)),"ne","taip")</f>
        <v>ne</v>
      </c>
      <c r="BA155" s="1" t="s">
        <v>763</v>
      </c>
      <c r="BB155" s="1">
        <f>MOD(SUMPRODUCT(--($T$1:$T154&lt;&gt;$T$2:$T155)),2)</f>
        <v>0</v>
      </c>
    </row>
    <row r="156" spans="1:54" ht="14.4" hidden="1" x14ac:dyDescent="0.3">
      <c r="A156" s="1" t="s">
        <v>294</v>
      </c>
      <c r="B156" s="124" t="s">
        <v>206</v>
      </c>
      <c r="C156" s="1" t="s">
        <v>56</v>
      </c>
      <c r="D156" s="1">
        <v>1</v>
      </c>
      <c r="E156" s="2">
        <v>3630.0010000000002</v>
      </c>
      <c r="F156" s="2">
        <v>3804.9989999999998</v>
      </c>
      <c r="G156" s="2">
        <v>200.023</v>
      </c>
      <c r="H156" s="2">
        <v>5603.15</v>
      </c>
      <c r="J156" s="1">
        <v>14470</v>
      </c>
      <c r="L156" s="3" t="s">
        <v>754</v>
      </c>
      <c r="M156" s="115">
        <v>45271</v>
      </c>
      <c r="V156" s="4">
        <v>13.81</v>
      </c>
      <c r="W156" s="4">
        <v>2.282</v>
      </c>
      <c r="AD156" s="4" t="s">
        <v>277</v>
      </c>
      <c r="AF156" s="1" t="s">
        <v>710</v>
      </c>
      <c r="AG156" s="1" t="s">
        <v>710</v>
      </c>
      <c r="AL156" s="1" t="s">
        <v>708</v>
      </c>
      <c r="AM156" s="99">
        <v>45272</v>
      </c>
      <c r="AP156" s="2">
        <v>1</v>
      </c>
      <c r="AQ156" s="4">
        <v>22.54</v>
      </c>
      <c r="AR156" s="4" t="str">
        <f>IF(ISNA(MATCH($BA156,planas!$BA:$BA,0)),"ne","taip")</f>
        <v>ne</v>
      </c>
      <c r="BA156" s="1" t="s">
        <v>640</v>
      </c>
      <c r="BB156" s="1">
        <f>MOD(SUMPRODUCT(--($T$1:$T155&lt;&gt;$T$2:$T156)),2)</f>
        <v>0</v>
      </c>
    </row>
    <row r="157" spans="1:54" ht="14.4" hidden="1" x14ac:dyDescent="0.3">
      <c r="A157" s="1" t="s">
        <v>294</v>
      </c>
      <c r="B157" s="124" t="s">
        <v>155</v>
      </c>
      <c r="C157" s="1" t="s">
        <v>56</v>
      </c>
      <c r="D157" s="1">
        <v>4</v>
      </c>
      <c r="E157" s="2">
        <v>2920.0059999999999</v>
      </c>
      <c r="F157" s="2">
        <v>1781</v>
      </c>
      <c r="G157" s="2">
        <v>200.00399999999999</v>
      </c>
      <c r="H157" s="2">
        <v>2529.29</v>
      </c>
      <c r="J157" s="1">
        <v>11090</v>
      </c>
      <c r="L157" s="3" t="s">
        <v>278</v>
      </c>
      <c r="M157" s="115">
        <v>45250</v>
      </c>
      <c r="V157" s="4">
        <v>5.2</v>
      </c>
      <c r="W157" s="4">
        <v>1.0329999999999999</v>
      </c>
      <c r="AD157" s="4" t="s">
        <v>277</v>
      </c>
      <c r="AF157" s="1" t="s">
        <v>712</v>
      </c>
      <c r="AG157" s="1" t="s">
        <v>711</v>
      </c>
      <c r="AL157" s="1" t="s">
        <v>708</v>
      </c>
      <c r="AM157" s="99">
        <v>45251</v>
      </c>
      <c r="AQ157" s="4">
        <v>5.9859999999999998</v>
      </c>
      <c r="AR157" s="4" t="str">
        <f>IF(ISNA(MATCH($BA157,planas!$BA:$BA,0)),"ne","taip")</f>
        <v>ne</v>
      </c>
      <c r="BA157" s="1" t="s">
        <v>451</v>
      </c>
      <c r="BB157" s="1">
        <f>MOD(SUMPRODUCT(--($T$1:$T156&lt;&gt;$T$2:$T157)),2)</f>
        <v>0</v>
      </c>
    </row>
    <row r="158" spans="1:54" ht="14.4" hidden="1" x14ac:dyDescent="0.3">
      <c r="A158" s="1" t="s">
        <v>294</v>
      </c>
      <c r="B158" s="124" t="s">
        <v>184</v>
      </c>
      <c r="C158" s="1" t="s">
        <v>56</v>
      </c>
      <c r="D158" s="1">
        <v>4</v>
      </c>
      <c r="E158" s="2">
        <v>3130</v>
      </c>
      <c r="F158" s="2">
        <v>2531</v>
      </c>
      <c r="G158" s="2">
        <v>200</v>
      </c>
      <c r="H158" s="2">
        <v>3846.23</v>
      </c>
      <c r="J158" s="1">
        <v>11200</v>
      </c>
      <c r="L158" s="3" t="s">
        <v>278</v>
      </c>
      <c r="M158" s="115">
        <v>45250</v>
      </c>
      <c r="V158" s="4">
        <v>7.92</v>
      </c>
      <c r="W158" s="4">
        <v>1.573</v>
      </c>
      <c r="AD158" s="4" t="s">
        <v>277</v>
      </c>
      <c r="AF158" s="1" t="s">
        <v>712</v>
      </c>
      <c r="AG158" s="1" t="s">
        <v>711</v>
      </c>
      <c r="AL158" s="1" t="s">
        <v>708</v>
      </c>
      <c r="AM158" s="99">
        <v>45251</v>
      </c>
      <c r="AQ158" s="4">
        <v>10.656000000000001</v>
      </c>
      <c r="AR158" s="4" t="str">
        <f>IF(ISNA(MATCH($BA158,planas!$BA:$BA,0)),"ne","taip")</f>
        <v>ne</v>
      </c>
      <c r="BA158" s="1" t="s">
        <v>461</v>
      </c>
      <c r="BB158" s="1">
        <f>MOD(SUMPRODUCT(--($T$1:$T157&lt;&gt;$T$2:$T158)),2)</f>
        <v>0</v>
      </c>
    </row>
    <row r="159" spans="1:54" ht="14.4" hidden="1" x14ac:dyDescent="0.3">
      <c r="A159" s="1" t="s">
        <v>294</v>
      </c>
      <c r="B159" s="124" t="s">
        <v>285</v>
      </c>
      <c r="C159" s="1" t="s">
        <v>56</v>
      </c>
      <c r="D159" s="1">
        <v>1</v>
      </c>
      <c r="E159" s="2">
        <v>1160</v>
      </c>
      <c r="F159" s="2">
        <v>8430</v>
      </c>
      <c r="G159" s="2">
        <v>140.00299999999999</v>
      </c>
      <c r="H159" s="2">
        <v>3371.42</v>
      </c>
      <c r="J159" s="1">
        <v>16230</v>
      </c>
      <c r="L159" s="3" t="s">
        <v>753</v>
      </c>
      <c r="M159" s="115">
        <v>45295</v>
      </c>
      <c r="V159" s="4">
        <v>9.7799999999999994</v>
      </c>
      <c r="W159" s="4">
        <v>1.3620000000000001</v>
      </c>
      <c r="AD159" s="4" t="s">
        <v>359</v>
      </c>
      <c r="AF159" s="1" t="s">
        <v>710</v>
      </c>
      <c r="AG159" s="1" t="s">
        <v>709</v>
      </c>
      <c r="AL159" s="1" t="s">
        <v>708</v>
      </c>
      <c r="AM159" s="99">
        <v>45287</v>
      </c>
      <c r="AQ159" s="4">
        <v>31.257999999999999</v>
      </c>
      <c r="AR159" s="4" t="str">
        <f>IF(ISNA(MATCH($BA159,planas!$BA:$BA,0)),"ne","taip")</f>
        <v>ne</v>
      </c>
      <c r="BA159" s="1" t="s">
        <v>684</v>
      </c>
      <c r="BB159" s="1">
        <f>MOD(SUMPRODUCT(--($T$1:$T158&lt;&gt;$T$2:$T159)),2)</f>
        <v>0</v>
      </c>
    </row>
    <row r="160" spans="1:54" ht="14.4" hidden="1" x14ac:dyDescent="0.3">
      <c r="A160" s="1" t="s">
        <v>294</v>
      </c>
      <c r="B160" s="124" t="s">
        <v>270</v>
      </c>
      <c r="C160" s="1" t="s">
        <v>56</v>
      </c>
      <c r="D160" s="1">
        <v>1</v>
      </c>
      <c r="E160" s="2">
        <v>3400.0070000000001</v>
      </c>
      <c r="F160" s="2">
        <v>2081</v>
      </c>
      <c r="G160" s="2">
        <v>200.00399999999999</v>
      </c>
      <c r="H160" s="2">
        <v>3425.86</v>
      </c>
      <c r="J160" s="1">
        <v>14360</v>
      </c>
      <c r="L160" s="3" t="s">
        <v>278</v>
      </c>
      <c r="M160" s="115">
        <v>45268</v>
      </c>
      <c r="V160" s="4">
        <v>7.08</v>
      </c>
      <c r="W160" s="4">
        <v>1.397</v>
      </c>
      <c r="AD160" s="4" t="s">
        <v>277</v>
      </c>
      <c r="AF160" s="1" t="s">
        <v>710</v>
      </c>
      <c r="AG160" s="1" t="s">
        <v>710</v>
      </c>
      <c r="AL160" s="1" t="s">
        <v>708</v>
      </c>
      <c r="AM160" s="99">
        <v>45271</v>
      </c>
      <c r="AQ160" s="4">
        <v>16.030999999999999</v>
      </c>
      <c r="AR160" s="4" t="str">
        <f>IF(ISNA(MATCH($BA160,planas!$BA:$BA,0)),"ne","taip")</f>
        <v>ne</v>
      </c>
      <c r="BA160" s="1" t="s">
        <v>627</v>
      </c>
      <c r="BB160" s="1">
        <f>MOD(SUMPRODUCT(--($T$1:$T159&lt;&gt;$T$2:$T160)),2)</f>
        <v>0</v>
      </c>
    </row>
    <row r="161" spans="1:54" ht="14.4" hidden="1" x14ac:dyDescent="0.3">
      <c r="A161" s="1" t="s">
        <v>294</v>
      </c>
      <c r="B161" s="124" t="s">
        <v>316</v>
      </c>
      <c r="C161" s="1" t="s">
        <v>57</v>
      </c>
      <c r="D161" s="1">
        <v>3</v>
      </c>
      <c r="E161" s="2">
        <v>3280.0010000000002</v>
      </c>
      <c r="F161" s="2">
        <v>6160.0060000000003</v>
      </c>
      <c r="G161" s="2">
        <v>595.01700000000005</v>
      </c>
      <c r="H161" s="2">
        <v>9592.17</v>
      </c>
      <c r="J161" s="1">
        <v>10970</v>
      </c>
      <c r="L161" s="3" t="s">
        <v>349</v>
      </c>
      <c r="M161" s="115">
        <v>45247</v>
      </c>
      <c r="V161" s="4">
        <v>20.2</v>
      </c>
      <c r="W161" s="4">
        <v>3.802</v>
      </c>
      <c r="AD161" s="4" t="s">
        <v>584</v>
      </c>
      <c r="AF161" s="1" t="s">
        <v>712</v>
      </c>
      <c r="AG161" s="1" t="s">
        <v>711</v>
      </c>
      <c r="AL161" s="1" t="s">
        <v>708</v>
      </c>
      <c r="AM161" s="99">
        <v>45250</v>
      </c>
      <c r="AQ161" s="4">
        <v>65.738</v>
      </c>
      <c r="AR161" s="4" t="str">
        <f>IF(ISNA(MATCH($BA161,planas!$BA:$BA,0)),"ne","taip")</f>
        <v>ne</v>
      </c>
      <c r="BA161" s="1" t="s">
        <v>608</v>
      </c>
      <c r="BB161" s="1">
        <f>MOD(SUMPRODUCT(--($T$1:$T160&lt;&gt;$T$2:$T161)),2)</f>
        <v>0</v>
      </c>
    </row>
    <row r="162" spans="1:54" ht="14.4" hidden="1" x14ac:dyDescent="0.3">
      <c r="A162" s="1" t="s">
        <v>294</v>
      </c>
      <c r="B162" s="124" t="s">
        <v>328</v>
      </c>
      <c r="C162" s="1" t="s">
        <v>57</v>
      </c>
      <c r="D162" s="1">
        <v>1</v>
      </c>
      <c r="E162" s="2">
        <v>3780.0210000000002</v>
      </c>
      <c r="F162" s="2">
        <v>7290.0029999999997</v>
      </c>
      <c r="G162" s="2">
        <v>595.01499999999999</v>
      </c>
      <c r="H162" s="2">
        <v>11720.76</v>
      </c>
      <c r="J162" s="1">
        <v>14200</v>
      </c>
      <c r="L162" s="3" t="s">
        <v>348</v>
      </c>
      <c r="M162" s="115">
        <v>45268</v>
      </c>
      <c r="V162" s="4">
        <v>27.56</v>
      </c>
      <c r="W162" s="4">
        <v>4.5469999999999997</v>
      </c>
      <c r="AD162" s="4" t="s">
        <v>584</v>
      </c>
      <c r="AF162" s="1" t="s">
        <v>710</v>
      </c>
      <c r="AG162" s="1" t="s">
        <v>710</v>
      </c>
      <c r="AL162" s="1" t="s">
        <v>708</v>
      </c>
      <c r="AM162" s="99">
        <v>45271</v>
      </c>
      <c r="AP162" s="2">
        <v>2</v>
      </c>
      <c r="AQ162" s="4">
        <v>38.466000000000001</v>
      </c>
      <c r="AR162" s="4" t="str">
        <f>IF(ISNA(MATCH($BA162,planas!$BA:$BA,0)),"ne","taip")</f>
        <v>ne</v>
      </c>
      <c r="BA162" s="1" t="s">
        <v>625</v>
      </c>
      <c r="BB162" s="1">
        <f>MOD(SUMPRODUCT(--($T$1:$T161&lt;&gt;$T$2:$T162)),2)</f>
        <v>0</v>
      </c>
    </row>
    <row r="163" spans="1:54" ht="14.4" hidden="1" x14ac:dyDescent="0.3">
      <c r="A163" s="1" t="s">
        <v>294</v>
      </c>
      <c r="B163" s="124" t="s">
        <v>254</v>
      </c>
      <c r="C163" s="1" t="s">
        <v>56</v>
      </c>
      <c r="D163" s="1">
        <v>4</v>
      </c>
      <c r="E163" s="2">
        <v>3130.0070000000001</v>
      </c>
      <c r="F163" s="2">
        <v>6180</v>
      </c>
      <c r="G163" s="2">
        <v>200.03700000000001</v>
      </c>
      <c r="H163" s="2">
        <v>8059.31</v>
      </c>
      <c r="J163" s="1">
        <v>13300</v>
      </c>
      <c r="L163" s="3" t="s">
        <v>753</v>
      </c>
      <c r="M163" s="115">
        <v>45264</v>
      </c>
      <c r="V163" s="4">
        <v>19.34</v>
      </c>
      <c r="W163" s="4">
        <v>3.2749999999999999</v>
      </c>
      <c r="AD163" s="4" t="s">
        <v>277</v>
      </c>
      <c r="AF163" s="1" t="s">
        <v>710</v>
      </c>
      <c r="AG163" s="1" t="s">
        <v>712</v>
      </c>
      <c r="AL163" s="1" t="s">
        <v>708</v>
      </c>
      <c r="AM163" s="99">
        <v>45265</v>
      </c>
      <c r="AQ163" s="4">
        <v>46.671999999999997</v>
      </c>
      <c r="AR163" s="4" t="str">
        <f>IF(ISNA(MATCH($BA163,planas!$BA:$BA,0)),"ne","taip")</f>
        <v>ne</v>
      </c>
      <c r="BA163" s="1" t="s">
        <v>413</v>
      </c>
      <c r="BB163" s="1">
        <f>MOD(SUMPRODUCT(--($T$1:$T162&lt;&gt;$T$2:$T163)),2)</f>
        <v>0</v>
      </c>
    </row>
    <row r="164" spans="1:54" ht="14.4" hidden="1" x14ac:dyDescent="0.3">
      <c r="A164" s="1" t="s">
        <v>294</v>
      </c>
      <c r="B164" s="124" t="s">
        <v>219</v>
      </c>
      <c r="C164" s="1" t="s">
        <v>56</v>
      </c>
      <c r="D164" s="1">
        <v>4</v>
      </c>
      <c r="E164" s="2">
        <v>3130.0230000000001</v>
      </c>
      <c r="F164" s="2">
        <v>5660.9970000000003</v>
      </c>
      <c r="G164" s="2">
        <v>400.00599999999997</v>
      </c>
      <c r="H164" s="2">
        <v>8373.59</v>
      </c>
      <c r="J164" s="1">
        <v>11160</v>
      </c>
      <c r="L164" s="3" t="s">
        <v>278</v>
      </c>
      <c r="M164" s="115">
        <v>45250</v>
      </c>
      <c r="V164" s="4">
        <v>17.72</v>
      </c>
      <c r="W164" s="4">
        <v>3.41</v>
      </c>
      <c r="AD164" s="4" t="s">
        <v>277</v>
      </c>
      <c r="AF164" s="1" t="s">
        <v>712</v>
      </c>
      <c r="AG164" s="1" t="s">
        <v>711</v>
      </c>
      <c r="AL164" s="1" t="s">
        <v>708</v>
      </c>
      <c r="AM164" s="99">
        <v>45251</v>
      </c>
      <c r="AP164" s="2">
        <v>1</v>
      </c>
      <c r="AQ164" s="4">
        <v>50.408999999999999</v>
      </c>
      <c r="AR164" s="4" t="str">
        <f>IF(ISNA(MATCH($BA164,planas!$BA:$BA,0)),"ne","taip")</f>
        <v>ne</v>
      </c>
      <c r="BA164" s="1" t="s">
        <v>422</v>
      </c>
      <c r="BB164" s="1">
        <f>MOD(SUMPRODUCT(--($T$1:$T163&lt;&gt;$T$2:$T164)),2)</f>
        <v>0</v>
      </c>
    </row>
    <row r="165" spans="1:54" ht="14.4" hidden="1" x14ac:dyDescent="0.3">
      <c r="A165" s="1" t="s">
        <v>294</v>
      </c>
      <c r="B165" s="124" t="s">
        <v>345</v>
      </c>
      <c r="C165" s="1" t="s">
        <v>57</v>
      </c>
      <c r="D165" s="1">
        <v>1</v>
      </c>
      <c r="E165" s="2">
        <v>3780.0050000000001</v>
      </c>
      <c r="F165" s="2">
        <v>3634.962</v>
      </c>
      <c r="G165" s="2">
        <v>595.26099999999997</v>
      </c>
      <c r="H165" s="2">
        <v>5900.01</v>
      </c>
      <c r="J165" s="1">
        <v>14240</v>
      </c>
      <c r="L165" s="3" t="s">
        <v>349</v>
      </c>
      <c r="M165" s="115">
        <v>45268</v>
      </c>
      <c r="V165" s="4">
        <v>13.74</v>
      </c>
      <c r="W165" s="4">
        <v>2.3260000000000001</v>
      </c>
      <c r="AD165" s="4" t="s">
        <v>584</v>
      </c>
      <c r="AF165" s="1" t="s">
        <v>710</v>
      </c>
      <c r="AG165" s="1" t="s">
        <v>710</v>
      </c>
      <c r="AL165" s="1" t="s">
        <v>708</v>
      </c>
      <c r="AM165" s="99">
        <v>45271</v>
      </c>
      <c r="AP165" s="2">
        <v>1</v>
      </c>
      <c r="AQ165" s="4">
        <v>49.561</v>
      </c>
      <c r="AR165" s="4" t="str">
        <f>IF(ISNA(MATCH($BA165,planas!$BA:$BA,0)),"ne","taip")</f>
        <v>ne</v>
      </c>
      <c r="BA165" s="1" t="s">
        <v>550</v>
      </c>
      <c r="BB165" s="1">
        <f>MOD(SUMPRODUCT(--($T$1:$T164&lt;&gt;$T$2:$T165)),2)</f>
        <v>0</v>
      </c>
    </row>
    <row r="166" spans="1:54" ht="14.4" hidden="1" x14ac:dyDescent="0.3">
      <c r="A166" s="1" t="s">
        <v>294</v>
      </c>
      <c r="B166" s="124" t="s">
        <v>193</v>
      </c>
      <c r="C166" s="1" t="s">
        <v>56</v>
      </c>
      <c r="D166" s="1">
        <v>2</v>
      </c>
      <c r="E166" s="2">
        <v>3630</v>
      </c>
      <c r="F166" s="2">
        <v>2531</v>
      </c>
      <c r="G166" s="2">
        <v>200.001</v>
      </c>
      <c r="H166" s="2">
        <v>4460.0600000000004</v>
      </c>
      <c r="J166" s="1">
        <v>14570</v>
      </c>
      <c r="L166" s="3" t="s">
        <v>278</v>
      </c>
      <c r="M166" s="115">
        <v>45271</v>
      </c>
      <c r="V166" s="4">
        <v>9.19</v>
      </c>
      <c r="W166" s="4">
        <v>1.8240000000000001</v>
      </c>
      <c r="AD166" s="4" t="s">
        <v>277</v>
      </c>
      <c r="AF166" s="1" t="s">
        <v>710</v>
      </c>
      <c r="AG166" s="1" t="s">
        <v>710</v>
      </c>
      <c r="AL166" s="1" t="s">
        <v>708</v>
      </c>
      <c r="AM166" s="99">
        <v>45272</v>
      </c>
      <c r="AQ166" s="4">
        <v>10.656000000000001</v>
      </c>
      <c r="AR166" s="4" t="str">
        <f>IF(ISNA(MATCH($BA166,planas!$BA:$BA,0)),"ne","taip")</f>
        <v>ne</v>
      </c>
      <c r="BA166" s="1" t="s">
        <v>497</v>
      </c>
      <c r="BB166" s="1">
        <f>MOD(SUMPRODUCT(--($T$1:$T165&lt;&gt;$T$2:$T166)),2)</f>
        <v>0</v>
      </c>
    </row>
    <row r="167" spans="1:54" ht="14.4" hidden="1" x14ac:dyDescent="0.3">
      <c r="A167" s="1" t="s">
        <v>294</v>
      </c>
      <c r="B167" s="124" t="s">
        <v>210</v>
      </c>
      <c r="C167" s="1" t="s">
        <v>56</v>
      </c>
      <c r="D167" s="1">
        <v>4</v>
      </c>
      <c r="E167" s="2">
        <v>3130.0070000000001</v>
      </c>
      <c r="F167" s="2">
        <v>6609.9989999999998</v>
      </c>
      <c r="G167" s="2">
        <v>200.03700000000001</v>
      </c>
      <c r="H167" s="2">
        <v>8937.85</v>
      </c>
      <c r="J167" s="1">
        <v>13280</v>
      </c>
      <c r="L167" s="3" t="s">
        <v>753</v>
      </c>
      <c r="M167" s="115">
        <v>45264</v>
      </c>
      <c r="V167" s="4">
        <v>20.69</v>
      </c>
      <c r="W167" s="4">
        <v>3.6520000000000001</v>
      </c>
      <c r="AD167" s="4" t="s">
        <v>277</v>
      </c>
      <c r="AF167" s="1" t="s">
        <v>710</v>
      </c>
      <c r="AG167" s="1" t="s">
        <v>712</v>
      </c>
      <c r="AL167" s="1" t="s">
        <v>708</v>
      </c>
      <c r="AM167" s="99">
        <v>45265</v>
      </c>
      <c r="AQ167" s="4">
        <v>30.646000000000001</v>
      </c>
      <c r="AR167" s="4" t="str">
        <f>IF(ISNA(MATCH($BA167,planas!$BA:$BA,0)),"ne","taip")</f>
        <v>ne</v>
      </c>
      <c r="BA167" s="1" t="s">
        <v>438</v>
      </c>
      <c r="BB167" s="1">
        <f>MOD(SUMPRODUCT(--($T$1:$T166&lt;&gt;$T$2:$T167)),2)</f>
        <v>0</v>
      </c>
    </row>
    <row r="168" spans="1:54" ht="14.4" hidden="1" x14ac:dyDescent="0.3">
      <c r="A168" s="1" t="s">
        <v>294</v>
      </c>
      <c r="B168" s="124" t="s">
        <v>139</v>
      </c>
      <c r="C168" s="1" t="s">
        <v>56</v>
      </c>
      <c r="D168" s="1">
        <v>1</v>
      </c>
      <c r="E168" s="2">
        <v>3120.0070000000001</v>
      </c>
      <c r="F168" s="2">
        <v>8180</v>
      </c>
      <c r="G168" s="2">
        <v>200.042</v>
      </c>
      <c r="H168" s="2">
        <v>11589.88</v>
      </c>
      <c r="J168" s="1">
        <v>8820</v>
      </c>
      <c r="L168" s="3" t="s">
        <v>753</v>
      </c>
      <c r="M168" s="115">
        <v>45237</v>
      </c>
      <c r="V168" s="4">
        <v>25.52</v>
      </c>
      <c r="W168" s="4">
        <v>4.6859999999999999</v>
      </c>
      <c r="AD168" s="4" t="s">
        <v>350</v>
      </c>
      <c r="AF168" s="1" t="s">
        <v>706</v>
      </c>
      <c r="AG168" s="1" t="s">
        <v>755</v>
      </c>
      <c r="AL168" s="1" t="s">
        <v>708</v>
      </c>
      <c r="AM168" s="99">
        <v>45238</v>
      </c>
      <c r="AQ168" s="4">
        <v>89.156000000000006</v>
      </c>
      <c r="AR168" s="4" t="str">
        <f>IF(ISNA(MATCH($BA168,planas!$BA:$BA,0)),"ne","taip")</f>
        <v>ne</v>
      </c>
      <c r="BA168" s="1" t="s">
        <v>523</v>
      </c>
      <c r="BB168" s="1">
        <f>MOD(SUMPRODUCT(--($T$1:$T167&lt;&gt;$T$2:$T168)),2)</f>
        <v>0</v>
      </c>
    </row>
    <row r="169" spans="1:54" ht="14.4" x14ac:dyDescent="0.3">
      <c r="A169" s="1" t="s">
        <v>294</v>
      </c>
      <c r="B169" s="124" t="s">
        <v>149</v>
      </c>
      <c r="C169" s="1" t="s">
        <v>56</v>
      </c>
      <c r="D169" s="1">
        <v>1</v>
      </c>
      <c r="E169" s="2">
        <v>3630.0070000000001</v>
      </c>
      <c r="F169" s="2">
        <v>4230</v>
      </c>
      <c r="G169" s="2">
        <v>200.03700000000001</v>
      </c>
      <c r="H169" s="2">
        <v>6353.33</v>
      </c>
      <c r="J169" s="1">
        <v>6320</v>
      </c>
      <c r="K169" s="3">
        <v>45159</v>
      </c>
      <c r="L169" s="3" t="s">
        <v>754</v>
      </c>
      <c r="M169" s="115">
        <v>45215</v>
      </c>
      <c r="V169" s="4">
        <v>15.35</v>
      </c>
      <c r="W169" s="4">
        <v>2.5880000000000001</v>
      </c>
      <c r="AC169" s="1">
        <v>2</v>
      </c>
      <c r="AD169" s="4" t="s">
        <v>277</v>
      </c>
      <c r="AF169" s="1" t="s">
        <v>711</v>
      </c>
      <c r="AG169" s="1" t="s">
        <v>710</v>
      </c>
      <c r="AL169" s="1" t="s">
        <v>708</v>
      </c>
      <c r="AM169" s="99">
        <v>45216</v>
      </c>
      <c r="AQ169" s="4">
        <v>33.417000000000002</v>
      </c>
      <c r="AR169" s="4" t="str">
        <f>IF(ISNA(MATCH($BA169,planas!$BA:$BA,0)),"ne","taip")</f>
        <v>ne</v>
      </c>
      <c r="BA169" s="1" t="s">
        <v>773</v>
      </c>
      <c r="BB169" s="1">
        <f>MOD(SUMPRODUCT(--($T$1:$T168&lt;&gt;$T$2:$T169)),2)</f>
        <v>0</v>
      </c>
    </row>
    <row r="170" spans="1:54" ht="14.4" hidden="1" x14ac:dyDescent="0.3">
      <c r="A170" s="1" t="s">
        <v>294</v>
      </c>
      <c r="B170" s="124" t="s">
        <v>271</v>
      </c>
      <c r="C170" s="1" t="s">
        <v>56</v>
      </c>
      <c r="D170" s="1">
        <v>1</v>
      </c>
      <c r="E170" s="2">
        <v>3130.0070000000001</v>
      </c>
      <c r="F170" s="2">
        <v>5181</v>
      </c>
      <c r="G170" s="2">
        <v>400.00400000000002</v>
      </c>
      <c r="H170" s="2">
        <v>7939.15</v>
      </c>
      <c r="J170" s="1">
        <v>15500</v>
      </c>
      <c r="L170" s="3" t="s">
        <v>278</v>
      </c>
      <c r="M170" s="115">
        <v>45278</v>
      </c>
      <c r="V170" s="4">
        <v>16.22</v>
      </c>
      <c r="W170" s="4">
        <v>3.234</v>
      </c>
      <c r="AD170" s="4" t="s">
        <v>277</v>
      </c>
      <c r="AF170" s="1" t="s">
        <v>710</v>
      </c>
      <c r="AG170" s="1" t="s">
        <v>707</v>
      </c>
      <c r="AL170" s="1" t="s">
        <v>708</v>
      </c>
      <c r="AM170" s="99">
        <v>45279</v>
      </c>
      <c r="AP170" s="2">
        <v>1</v>
      </c>
      <c r="AQ170" s="4">
        <v>40.728000000000002</v>
      </c>
      <c r="AR170" s="4" t="str">
        <f>IF(ISNA(MATCH($BA170,planas!$BA:$BA,0)),"ne","taip")</f>
        <v>ne</v>
      </c>
      <c r="BA170" s="1" t="s">
        <v>674</v>
      </c>
      <c r="BB170" s="1">
        <f>MOD(SUMPRODUCT(--($T$1:$T169&lt;&gt;$T$2:$T170)),2)</f>
        <v>0</v>
      </c>
    </row>
    <row r="171" spans="1:54" ht="14.4" hidden="1" x14ac:dyDescent="0.3">
      <c r="A171" s="1" t="s">
        <v>294</v>
      </c>
      <c r="B171" s="124" t="s">
        <v>375</v>
      </c>
      <c r="C171" s="1" t="s">
        <v>57</v>
      </c>
      <c r="D171" s="1">
        <v>1</v>
      </c>
      <c r="E171" s="2">
        <v>3130.01</v>
      </c>
      <c r="F171" s="2">
        <v>6410.0150000000003</v>
      </c>
      <c r="G171" s="2">
        <v>595.00900000000001</v>
      </c>
      <c r="H171" s="2">
        <v>7832.6</v>
      </c>
      <c r="J171" s="1">
        <v>14290</v>
      </c>
      <c r="L171" s="3" t="s">
        <v>349</v>
      </c>
      <c r="M171" s="115">
        <v>45268</v>
      </c>
      <c r="V171" s="4">
        <v>20.059999999999999</v>
      </c>
      <c r="W171" s="4">
        <v>3.0880000000000001</v>
      </c>
      <c r="AD171" s="4" t="s">
        <v>584</v>
      </c>
      <c r="AF171" s="1" t="s">
        <v>710</v>
      </c>
      <c r="AG171" s="1" t="s">
        <v>710</v>
      </c>
      <c r="AL171" s="1" t="s">
        <v>708</v>
      </c>
      <c r="AM171" s="99">
        <v>45271</v>
      </c>
      <c r="AP171" s="2">
        <v>3</v>
      </c>
      <c r="AQ171" s="4">
        <v>43.401000000000003</v>
      </c>
      <c r="AR171" s="4" t="str">
        <f>IF(ISNA(MATCH($BA171,planas!$BA:$BA,0)),"ne","taip")</f>
        <v>ne</v>
      </c>
      <c r="BA171" s="1" t="s">
        <v>621</v>
      </c>
      <c r="BB171" s="1">
        <f>MOD(SUMPRODUCT(--($T$1:$T170&lt;&gt;$T$2:$T171)),2)</f>
        <v>0</v>
      </c>
    </row>
    <row r="172" spans="1:54" ht="14.4" hidden="1" x14ac:dyDescent="0.3">
      <c r="A172" s="1" t="s">
        <v>294</v>
      </c>
      <c r="B172" s="124" t="s">
        <v>262</v>
      </c>
      <c r="C172" s="1" t="s">
        <v>56</v>
      </c>
      <c r="D172" s="1">
        <v>1</v>
      </c>
      <c r="E172" s="2">
        <v>3130</v>
      </c>
      <c r="F172" s="2">
        <v>1560</v>
      </c>
      <c r="G172" s="2">
        <v>200.001</v>
      </c>
      <c r="H172" s="2">
        <v>2368.6999999999998</v>
      </c>
      <c r="J172" s="1">
        <v>15570</v>
      </c>
      <c r="L172" s="3" t="s">
        <v>753</v>
      </c>
      <c r="M172" s="115">
        <v>45278</v>
      </c>
      <c r="V172" s="4">
        <v>4.88</v>
      </c>
      <c r="W172" s="4">
        <v>0.96899999999999997</v>
      </c>
      <c r="AD172" s="4" t="s">
        <v>277</v>
      </c>
      <c r="AF172" s="1" t="s">
        <v>710</v>
      </c>
      <c r="AG172" s="1" t="s">
        <v>707</v>
      </c>
      <c r="AL172" s="1" t="s">
        <v>708</v>
      </c>
      <c r="AM172" s="99">
        <v>45279</v>
      </c>
      <c r="AQ172" s="4">
        <v>5.7160000000000002</v>
      </c>
      <c r="AR172" s="4" t="str">
        <f>IF(ISNA(MATCH($BA172,planas!$BA:$BA,0)),"ne","taip")</f>
        <v>ne</v>
      </c>
      <c r="BA172" s="1" t="s">
        <v>498</v>
      </c>
      <c r="BB172" s="1">
        <f>MOD(SUMPRODUCT(--($T$1:$T171&lt;&gt;$T$2:$T172)),2)</f>
        <v>0</v>
      </c>
    </row>
    <row r="173" spans="1:54" ht="14.4" hidden="1" x14ac:dyDescent="0.3">
      <c r="A173" s="1" t="s">
        <v>294</v>
      </c>
      <c r="B173" s="124" t="s">
        <v>291</v>
      </c>
      <c r="C173" s="1" t="s">
        <v>56</v>
      </c>
      <c r="D173" s="1">
        <v>1</v>
      </c>
      <c r="E173" s="2">
        <v>1160</v>
      </c>
      <c r="F173" s="2">
        <v>6030</v>
      </c>
      <c r="G173" s="2">
        <v>140</v>
      </c>
      <c r="H173" s="2">
        <v>2403.79</v>
      </c>
      <c r="J173" s="1">
        <v>16210</v>
      </c>
      <c r="L173" s="3" t="s">
        <v>753</v>
      </c>
      <c r="M173" s="115">
        <v>45293</v>
      </c>
      <c r="V173" s="4">
        <v>6.99</v>
      </c>
      <c r="W173" s="4">
        <v>0.97199999999999998</v>
      </c>
      <c r="AD173" s="4" t="s">
        <v>359</v>
      </c>
      <c r="AF173" s="1" t="s">
        <v>710</v>
      </c>
      <c r="AG173" s="1" t="s">
        <v>709</v>
      </c>
      <c r="AL173" s="1" t="s">
        <v>708</v>
      </c>
      <c r="AM173" s="99">
        <v>45287</v>
      </c>
      <c r="AQ173" s="4">
        <v>19.896000000000001</v>
      </c>
      <c r="AR173" s="4" t="str">
        <f>IF(ISNA(MATCH($BA173,planas!$BA:$BA,0)),"ne","taip")</f>
        <v>ne</v>
      </c>
      <c r="BA173" s="1" t="s">
        <v>677</v>
      </c>
      <c r="BB173" s="1">
        <f>MOD(SUMPRODUCT(--($T$1:$T172&lt;&gt;$T$2:$T173)),2)</f>
        <v>0</v>
      </c>
    </row>
    <row r="174" spans="1:54" ht="14.4" x14ac:dyDescent="0.3">
      <c r="A174" s="1" t="s">
        <v>294</v>
      </c>
      <c r="B174" s="124" t="s">
        <v>222</v>
      </c>
      <c r="C174" s="1" t="s">
        <v>56</v>
      </c>
      <c r="D174" s="1">
        <v>1</v>
      </c>
      <c r="E174" s="2">
        <v>3420.0070000000001</v>
      </c>
      <c r="F174" s="2">
        <v>4560</v>
      </c>
      <c r="G174" s="2">
        <v>200.04</v>
      </c>
      <c r="H174" s="2">
        <v>7477.23</v>
      </c>
      <c r="J174" s="1">
        <v>6190</v>
      </c>
      <c r="K174" s="3">
        <v>45159</v>
      </c>
      <c r="L174" s="3" t="s">
        <v>753</v>
      </c>
      <c r="M174" s="115">
        <v>45215</v>
      </c>
      <c r="V174" s="4">
        <v>15.6</v>
      </c>
      <c r="W174" s="4">
        <v>3.0470000000000002</v>
      </c>
      <c r="AC174" s="1">
        <v>2</v>
      </c>
      <c r="AD174" s="4" t="s">
        <v>277</v>
      </c>
      <c r="AF174" s="1" t="s">
        <v>711</v>
      </c>
      <c r="AG174" s="1" t="s">
        <v>710</v>
      </c>
      <c r="AL174" s="1" t="s">
        <v>708</v>
      </c>
      <c r="AM174" s="99">
        <v>45216</v>
      </c>
      <c r="AQ174" s="4">
        <v>47.234999999999999</v>
      </c>
      <c r="AR174" s="4" t="str">
        <f>IF(ISNA(MATCH($BA174,planas!$BA:$BA,0)),"ne","taip")</f>
        <v>ne</v>
      </c>
      <c r="BA174" s="1" t="s">
        <v>774</v>
      </c>
      <c r="BB174" s="1">
        <f>MOD(SUMPRODUCT(--($T$1:$T173&lt;&gt;$T$2:$T174)),2)</f>
        <v>0</v>
      </c>
    </row>
    <row r="175" spans="1:54" ht="14.4" hidden="1" x14ac:dyDescent="0.3">
      <c r="A175" s="1" t="s">
        <v>294</v>
      </c>
      <c r="B175" s="124" t="s">
        <v>159</v>
      </c>
      <c r="C175" s="1" t="s">
        <v>56</v>
      </c>
      <c r="D175" s="1">
        <v>1</v>
      </c>
      <c r="E175" s="2">
        <v>3420.0070000000001</v>
      </c>
      <c r="F175" s="2">
        <v>3070</v>
      </c>
      <c r="G175" s="2">
        <v>200.00299999999999</v>
      </c>
      <c r="H175" s="2">
        <v>5078.1400000000003</v>
      </c>
      <c r="J175" s="1">
        <v>14410</v>
      </c>
      <c r="L175" s="3" t="s">
        <v>753</v>
      </c>
      <c r="M175" s="115">
        <v>45271</v>
      </c>
      <c r="V175" s="4">
        <v>10.5</v>
      </c>
      <c r="W175" s="4">
        <v>2.0720000000000001</v>
      </c>
      <c r="AD175" s="4" t="s">
        <v>277</v>
      </c>
      <c r="AF175" s="1" t="s">
        <v>710</v>
      </c>
      <c r="AG175" s="1" t="s">
        <v>710</v>
      </c>
      <c r="AL175" s="1" t="s">
        <v>708</v>
      </c>
      <c r="AM175" s="99">
        <v>45272</v>
      </c>
      <c r="AQ175" s="4">
        <v>19.628</v>
      </c>
      <c r="AR175" s="4" t="str">
        <f>IF(ISNA(MATCH($BA175,planas!$BA:$BA,0)),"ne","taip")</f>
        <v>ne</v>
      </c>
      <c r="BA175" s="1" t="s">
        <v>631</v>
      </c>
      <c r="BB175" s="1">
        <f>MOD(SUMPRODUCT(--($T$1:$T174&lt;&gt;$T$2:$T175)),2)</f>
        <v>0</v>
      </c>
    </row>
    <row r="176" spans="1:54" ht="14.4" hidden="1" x14ac:dyDescent="0.3">
      <c r="A176" s="1" t="s">
        <v>294</v>
      </c>
      <c r="B176" s="124" t="s">
        <v>147</v>
      </c>
      <c r="C176" s="1" t="s">
        <v>56</v>
      </c>
      <c r="D176" s="1">
        <v>3</v>
      </c>
      <c r="E176" s="2">
        <v>2920.0149999999999</v>
      </c>
      <c r="F176" s="2">
        <v>2380.0010000000002</v>
      </c>
      <c r="G176" s="2">
        <v>200.03899999999999</v>
      </c>
      <c r="H176" s="2">
        <v>2305.7199999999998</v>
      </c>
      <c r="J176" s="1">
        <v>12210</v>
      </c>
      <c r="L176" s="3" t="s">
        <v>753</v>
      </c>
      <c r="M176" s="115">
        <v>45257</v>
      </c>
      <c r="V176" s="4">
        <v>6.95</v>
      </c>
      <c r="W176" s="4">
        <v>0.91800000000000004</v>
      </c>
      <c r="AD176" s="4" t="s">
        <v>277</v>
      </c>
      <c r="AF176" s="1" t="s">
        <v>712</v>
      </c>
      <c r="AG176" s="1" t="s">
        <v>706</v>
      </c>
      <c r="AL176" s="1" t="s">
        <v>708</v>
      </c>
      <c r="AM176" s="99">
        <v>45258</v>
      </c>
      <c r="AP176" s="2">
        <v>2</v>
      </c>
      <c r="AQ176" s="4">
        <v>14.186999999999999</v>
      </c>
      <c r="AR176" s="4" t="str">
        <f>IF(ISNA(MATCH($BA176,planas!$BA:$BA,0)),"ne","taip")</f>
        <v>ne</v>
      </c>
      <c r="BA176" s="1" t="s">
        <v>391</v>
      </c>
      <c r="BB176" s="1">
        <f>MOD(SUMPRODUCT(--($T$1:$T175&lt;&gt;$T$2:$T176)),2)</f>
        <v>0</v>
      </c>
    </row>
    <row r="177" spans="1:54" ht="14.4" hidden="1" x14ac:dyDescent="0.3">
      <c r="A177" s="1" t="s">
        <v>294</v>
      </c>
      <c r="B177" s="124" t="s">
        <v>319</v>
      </c>
      <c r="C177" s="1" t="s">
        <v>57</v>
      </c>
      <c r="D177" s="1">
        <v>4</v>
      </c>
      <c r="E177" s="2">
        <v>3280.0210000000002</v>
      </c>
      <c r="F177" s="2">
        <v>5340.027</v>
      </c>
      <c r="G177" s="2">
        <v>595.01199999999994</v>
      </c>
      <c r="H177" s="2">
        <v>6757.62</v>
      </c>
      <c r="J177" s="1">
        <v>12040</v>
      </c>
      <c r="L177" s="3" t="s">
        <v>349</v>
      </c>
      <c r="M177" s="115">
        <v>45254</v>
      </c>
      <c r="V177" s="4">
        <v>17.52</v>
      </c>
      <c r="W177" s="4">
        <v>2.6760000000000002</v>
      </c>
      <c r="AD177" s="4" t="s">
        <v>584</v>
      </c>
      <c r="AF177" s="1" t="s">
        <v>712</v>
      </c>
      <c r="AG177" s="1" t="s">
        <v>706</v>
      </c>
      <c r="AL177" s="1" t="s">
        <v>708</v>
      </c>
      <c r="AM177" s="99">
        <v>45257</v>
      </c>
      <c r="AP177" s="2">
        <v>1</v>
      </c>
      <c r="AQ177" s="4">
        <v>17.542000000000002</v>
      </c>
      <c r="AR177" s="4" t="str">
        <f>IF(ISNA(MATCH($BA177,planas!$BA:$BA,0)),"ne","taip")</f>
        <v>ne</v>
      </c>
      <c r="BA177" s="1" t="s">
        <v>599</v>
      </c>
      <c r="BB177" s="1">
        <f>MOD(SUMPRODUCT(--($T$1:$T176&lt;&gt;$T$2:$T177)),2)</f>
        <v>0</v>
      </c>
    </row>
    <row r="178" spans="1:54" ht="14.4" hidden="1" x14ac:dyDescent="0.3">
      <c r="A178" s="1" t="s">
        <v>294</v>
      </c>
      <c r="B178" s="124" t="s">
        <v>298</v>
      </c>
      <c r="C178" s="1" t="s">
        <v>57</v>
      </c>
      <c r="D178" s="1">
        <v>1</v>
      </c>
      <c r="E178" s="2">
        <v>3280.009</v>
      </c>
      <c r="F178" s="2">
        <v>7180.0469999999996</v>
      </c>
      <c r="G178" s="2">
        <v>595.03200000000004</v>
      </c>
      <c r="H178" s="2">
        <v>8624.24</v>
      </c>
      <c r="J178" s="1">
        <v>12010</v>
      </c>
      <c r="L178" s="3" t="s">
        <v>348</v>
      </c>
      <c r="M178" s="115">
        <v>45254</v>
      </c>
      <c r="V178" s="4">
        <v>23.55</v>
      </c>
      <c r="W178" s="4">
        <v>3.3540000000000001</v>
      </c>
      <c r="AD178" s="4" t="s">
        <v>584</v>
      </c>
      <c r="AF178" s="1" t="s">
        <v>712</v>
      </c>
      <c r="AG178" s="1" t="s">
        <v>706</v>
      </c>
      <c r="AL178" s="1" t="s">
        <v>708</v>
      </c>
      <c r="AM178" s="99">
        <v>45257</v>
      </c>
      <c r="AP178" s="2">
        <v>2</v>
      </c>
      <c r="AQ178" s="4">
        <v>45.104999999999997</v>
      </c>
      <c r="AR178" s="4" t="str">
        <f>IF(ISNA(MATCH($BA178,planas!$BA:$BA,0)),"ne","taip")</f>
        <v>ne</v>
      </c>
      <c r="BA178" s="1" t="s">
        <v>564</v>
      </c>
      <c r="BB178" s="1">
        <f>MOD(SUMPRODUCT(--($T$1:$T177&lt;&gt;$T$2:$T178)),2)</f>
        <v>0</v>
      </c>
    </row>
    <row r="179" spans="1:54" ht="14.4" hidden="1" x14ac:dyDescent="0.3">
      <c r="A179" s="1" t="s">
        <v>294</v>
      </c>
      <c r="B179" s="124" t="s">
        <v>203</v>
      </c>
      <c r="C179" s="1" t="s">
        <v>56</v>
      </c>
      <c r="D179" s="1">
        <v>4</v>
      </c>
      <c r="E179" s="2">
        <v>2920.0070000000001</v>
      </c>
      <c r="F179" s="2">
        <v>4560</v>
      </c>
      <c r="G179" s="2">
        <v>200.04</v>
      </c>
      <c r="H179" s="2">
        <v>6370.73</v>
      </c>
      <c r="J179" s="1">
        <v>9990</v>
      </c>
      <c r="L179" s="3" t="s">
        <v>753</v>
      </c>
      <c r="M179" s="115">
        <v>45244</v>
      </c>
      <c r="V179" s="4">
        <v>13.32</v>
      </c>
      <c r="W179" s="4">
        <v>2.5920000000000001</v>
      </c>
      <c r="AD179" s="4" t="s">
        <v>277</v>
      </c>
      <c r="AF179" s="1" t="s">
        <v>706</v>
      </c>
      <c r="AG179" s="1" t="s">
        <v>713</v>
      </c>
      <c r="AL179" s="1" t="s">
        <v>708</v>
      </c>
      <c r="AM179" s="99">
        <v>45245</v>
      </c>
      <c r="AQ179" s="4">
        <v>45.067999999999998</v>
      </c>
      <c r="AR179" s="4" t="str">
        <f>IF(ISNA(MATCH($BA179,planas!$BA:$BA,0)),"ne","taip")</f>
        <v>ne</v>
      </c>
      <c r="BA179" s="1" t="s">
        <v>449</v>
      </c>
      <c r="BB179" s="1">
        <f>MOD(SUMPRODUCT(--($T$1:$T178&lt;&gt;$T$2:$T179)),2)</f>
        <v>0</v>
      </c>
    </row>
    <row r="180" spans="1:54" ht="14.4" hidden="1" x14ac:dyDescent="0.3">
      <c r="A180" s="1" t="s">
        <v>294</v>
      </c>
      <c r="B180" s="124" t="s">
        <v>309</v>
      </c>
      <c r="C180" s="1" t="s">
        <v>57</v>
      </c>
      <c r="D180" s="1">
        <v>2</v>
      </c>
      <c r="E180" s="2">
        <v>3280.0070000000001</v>
      </c>
      <c r="F180" s="2">
        <v>6050.04</v>
      </c>
      <c r="G180" s="2">
        <v>595</v>
      </c>
      <c r="H180" s="2">
        <v>7917.53</v>
      </c>
      <c r="J180" s="1">
        <v>10960</v>
      </c>
      <c r="L180" s="3" t="s">
        <v>348</v>
      </c>
      <c r="M180" s="115">
        <v>45247</v>
      </c>
      <c r="V180" s="4">
        <v>19.84</v>
      </c>
      <c r="W180" s="4">
        <v>3.117</v>
      </c>
      <c r="AD180" s="4" t="s">
        <v>584</v>
      </c>
      <c r="AF180" s="1" t="s">
        <v>712</v>
      </c>
      <c r="AG180" s="1" t="s">
        <v>711</v>
      </c>
      <c r="AL180" s="1" t="s">
        <v>708</v>
      </c>
      <c r="AM180" s="99">
        <v>45250</v>
      </c>
      <c r="AP180" s="2">
        <v>3</v>
      </c>
      <c r="AQ180" s="4">
        <v>52.445</v>
      </c>
      <c r="AR180" s="4" t="str">
        <f>IF(ISNA(MATCH($BA180,planas!$BA:$BA,0)),"ne","taip")</f>
        <v>ne</v>
      </c>
      <c r="BA180" s="1" t="s">
        <v>607</v>
      </c>
      <c r="BB180" s="1">
        <f>MOD(SUMPRODUCT(--($T$1:$T179&lt;&gt;$T$2:$T180)),2)</f>
        <v>0</v>
      </c>
    </row>
    <row r="181" spans="1:54" ht="14.4" hidden="1" x14ac:dyDescent="0.3">
      <c r="A181" s="1" t="s">
        <v>294</v>
      </c>
      <c r="B181" s="124" t="s">
        <v>254</v>
      </c>
      <c r="C181" s="1" t="s">
        <v>56</v>
      </c>
      <c r="D181" s="1">
        <v>4</v>
      </c>
      <c r="E181" s="2">
        <v>3130.0070000000001</v>
      </c>
      <c r="F181" s="2">
        <v>6180</v>
      </c>
      <c r="G181" s="2">
        <v>200.03700000000001</v>
      </c>
      <c r="H181" s="2">
        <v>8059.31</v>
      </c>
      <c r="J181" s="1">
        <v>11050</v>
      </c>
      <c r="L181" s="3" t="s">
        <v>753</v>
      </c>
      <c r="M181" s="115">
        <v>45250</v>
      </c>
      <c r="V181" s="4">
        <v>19.34</v>
      </c>
      <c r="W181" s="4">
        <v>3.2749999999999999</v>
      </c>
      <c r="AD181" s="4" t="s">
        <v>277</v>
      </c>
      <c r="AF181" s="1" t="s">
        <v>712</v>
      </c>
      <c r="AG181" s="1" t="s">
        <v>711</v>
      </c>
      <c r="AL181" s="1" t="s">
        <v>708</v>
      </c>
      <c r="AM181" s="99">
        <v>45251</v>
      </c>
      <c r="AQ181" s="4">
        <v>46.671999999999997</v>
      </c>
      <c r="AR181" s="4" t="str">
        <f>IF(ISNA(MATCH($BA181,planas!$BA:$BA,0)),"ne","taip")</f>
        <v>ne</v>
      </c>
      <c r="BA181" s="1" t="s">
        <v>473</v>
      </c>
      <c r="BB181" s="1">
        <f>MOD(SUMPRODUCT(--($T$1:$T180&lt;&gt;$T$2:$T181)),2)</f>
        <v>0</v>
      </c>
    </row>
    <row r="182" spans="1:54" ht="14.4" hidden="1" x14ac:dyDescent="0.3">
      <c r="A182" s="1" t="s">
        <v>294</v>
      </c>
      <c r="B182" s="124" t="s">
        <v>286</v>
      </c>
      <c r="C182" s="1" t="s">
        <v>56</v>
      </c>
      <c r="D182" s="1">
        <v>1</v>
      </c>
      <c r="E182" s="2">
        <v>1160</v>
      </c>
      <c r="F182" s="2">
        <v>7135.9970000000003</v>
      </c>
      <c r="G182" s="2">
        <v>140</v>
      </c>
      <c r="H182" s="2">
        <v>2850.25</v>
      </c>
      <c r="J182" s="1">
        <v>16220</v>
      </c>
      <c r="L182" s="3" t="s">
        <v>278</v>
      </c>
      <c r="M182" s="115">
        <v>45294</v>
      </c>
      <c r="V182" s="4">
        <v>8.2799999999999994</v>
      </c>
      <c r="W182" s="4">
        <v>1.153</v>
      </c>
      <c r="AD182" s="4" t="s">
        <v>359</v>
      </c>
      <c r="AF182" s="1" t="s">
        <v>710</v>
      </c>
      <c r="AG182" s="1" t="s">
        <v>709</v>
      </c>
      <c r="AL182" s="1" t="s">
        <v>708</v>
      </c>
      <c r="AM182" s="99">
        <v>45287</v>
      </c>
      <c r="AQ182" s="4">
        <v>23.649000000000001</v>
      </c>
      <c r="AR182" s="4" t="str">
        <f>IF(ISNA(MATCH($BA182,planas!$BA:$BA,0)),"ne","taip")</f>
        <v>ne</v>
      </c>
      <c r="BA182" s="1" t="s">
        <v>683</v>
      </c>
      <c r="BB182" s="1">
        <f>MOD(SUMPRODUCT(--($T$1:$T181&lt;&gt;$T$2:$T182)),2)</f>
        <v>0</v>
      </c>
    </row>
    <row r="183" spans="1:54" ht="14.4" hidden="1" x14ac:dyDescent="0.3">
      <c r="A183" s="1" t="s">
        <v>294</v>
      </c>
      <c r="B183" s="124" t="s">
        <v>354</v>
      </c>
      <c r="C183" s="1" t="s">
        <v>57</v>
      </c>
      <c r="D183" s="1">
        <v>2</v>
      </c>
      <c r="E183" s="2">
        <v>3280.0059999999999</v>
      </c>
      <c r="F183" s="2">
        <v>5464.9859999999999</v>
      </c>
      <c r="G183" s="2">
        <v>595.00099999999998</v>
      </c>
      <c r="H183" s="2">
        <v>7355.5</v>
      </c>
      <c r="J183" s="1">
        <v>9720</v>
      </c>
      <c r="L183" s="3" t="s">
        <v>349</v>
      </c>
      <c r="M183" s="115">
        <v>45243</v>
      </c>
      <c r="V183" s="4">
        <v>17.93</v>
      </c>
      <c r="W183" s="4">
        <v>2.8410000000000002</v>
      </c>
      <c r="AD183" s="4" t="s">
        <v>744</v>
      </c>
      <c r="AF183" s="1" t="s">
        <v>706</v>
      </c>
      <c r="AG183" s="1" t="s">
        <v>713</v>
      </c>
      <c r="AL183" s="1" t="s">
        <v>708</v>
      </c>
      <c r="AM183" s="99">
        <v>45244</v>
      </c>
      <c r="AP183" s="2">
        <v>2</v>
      </c>
      <c r="AQ183" s="4">
        <v>34.424999999999997</v>
      </c>
      <c r="AR183" s="4" t="str">
        <f>IF(ISNA(MATCH($BA183,planas!$BA:$BA,0)),"ne","taip")</f>
        <v>ne</v>
      </c>
      <c r="BA183" s="1" t="s">
        <v>549</v>
      </c>
      <c r="BB183" s="1">
        <f>MOD(SUMPRODUCT(--($T$1:$T182&lt;&gt;$T$2:$T183)),2)</f>
        <v>0</v>
      </c>
    </row>
    <row r="184" spans="1:54" ht="14.4" hidden="1" x14ac:dyDescent="0.3">
      <c r="A184" s="1" t="s">
        <v>294</v>
      </c>
      <c r="B184" s="124" t="s">
        <v>343</v>
      </c>
      <c r="C184" s="1" t="s">
        <v>57</v>
      </c>
      <c r="D184" s="1">
        <v>2</v>
      </c>
      <c r="E184" s="2">
        <v>3130.011</v>
      </c>
      <c r="F184" s="2">
        <v>3040.0070000000001</v>
      </c>
      <c r="G184" s="2">
        <v>545</v>
      </c>
      <c r="H184" s="2">
        <v>5374.62</v>
      </c>
      <c r="J184" s="1">
        <v>7060</v>
      </c>
      <c r="L184" s="3" t="s">
        <v>348</v>
      </c>
      <c r="M184" s="115">
        <v>45219</v>
      </c>
      <c r="V184" s="4">
        <v>9.52</v>
      </c>
      <c r="W184" s="4">
        <v>2.137</v>
      </c>
      <c r="AD184" s="4" t="s">
        <v>584</v>
      </c>
      <c r="AF184" s="1" t="s">
        <v>711</v>
      </c>
      <c r="AG184" s="1" t="s">
        <v>707</v>
      </c>
      <c r="AL184" s="1" t="s">
        <v>708</v>
      </c>
      <c r="AM184" s="99">
        <v>45222</v>
      </c>
      <c r="AQ184" s="4">
        <v>13.864000000000001</v>
      </c>
      <c r="AR184" s="4" t="str">
        <f>IF(ISNA(MATCH($BA184,planas!$BA:$BA,0)),"ne","taip")</f>
        <v>ne</v>
      </c>
      <c r="BA184" s="1" t="s">
        <v>368</v>
      </c>
      <c r="BB184" s="1">
        <f>MOD(SUMPRODUCT(--($T$1:$T183&lt;&gt;$T$2:$T184)),2)</f>
        <v>0</v>
      </c>
    </row>
    <row r="185" spans="1:54" ht="14.4" hidden="1" x14ac:dyDescent="0.3">
      <c r="A185" s="1" t="s">
        <v>294</v>
      </c>
      <c r="B185" s="124" t="s">
        <v>138</v>
      </c>
      <c r="C185" s="1" t="s">
        <v>56</v>
      </c>
      <c r="D185" s="1">
        <v>4</v>
      </c>
      <c r="E185" s="2">
        <v>3130.0070000000001</v>
      </c>
      <c r="F185" s="2">
        <v>4230</v>
      </c>
      <c r="G185" s="2">
        <v>200.03700000000001</v>
      </c>
      <c r="H185" s="2">
        <v>5199.1400000000003</v>
      </c>
      <c r="J185" s="1">
        <v>13290</v>
      </c>
      <c r="L185" s="3" t="s">
        <v>753</v>
      </c>
      <c r="M185" s="115">
        <v>45264</v>
      </c>
      <c r="V185" s="4">
        <v>13.24</v>
      </c>
      <c r="W185" s="4">
        <v>2.113</v>
      </c>
      <c r="AD185" s="4" t="s">
        <v>277</v>
      </c>
      <c r="AF185" s="1" t="s">
        <v>710</v>
      </c>
      <c r="AG185" s="1" t="s">
        <v>712</v>
      </c>
      <c r="AL185" s="1" t="s">
        <v>708</v>
      </c>
      <c r="AM185" s="99">
        <v>45265</v>
      </c>
      <c r="AQ185" s="4">
        <v>33.323</v>
      </c>
      <c r="AR185" s="4" t="str">
        <f>IF(ISNA(MATCH($BA185,planas!$BA:$BA,0)),"ne","taip")</f>
        <v>ne</v>
      </c>
      <c r="BA185" s="1" t="s">
        <v>400</v>
      </c>
      <c r="BB185" s="1">
        <f>MOD(SUMPRODUCT(--($T$1:$T184&lt;&gt;$T$2:$T185)),2)</f>
        <v>0</v>
      </c>
    </row>
    <row r="186" spans="1:54" ht="14.4" x14ac:dyDescent="0.3">
      <c r="A186" s="1" t="s">
        <v>294</v>
      </c>
      <c r="B186" s="124" t="s">
        <v>144</v>
      </c>
      <c r="C186" s="1" t="s">
        <v>56</v>
      </c>
      <c r="D186" s="1">
        <v>2</v>
      </c>
      <c r="E186" s="2">
        <v>3420.0059999999999</v>
      </c>
      <c r="F186" s="2">
        <v>1781</v>
      </c>
      <c r="G186" s="2">
        <v>200.00399999999999</v>
      </c>
      <c r="H186" s="2">
        <v>2963.06</v>
      </c>
      <c r="J186" s="1">
        <v>6240</v>
      </c>
      <c r="K186" s="3">
        <v>45159</v>
      </c>
      <c r="L186" s="3" t="s">
        <v>278</v>
      </c>
      <c r="M186" s="115">
        <v>45215</v>
      </c>
      <c r="V186" s="4">
        <v>6.09</v>
      </c>
      <c r="W186" s="4">
        <v>1.2090000000000001</v>
      </c>
      <c r="AC186" s="1">
        <v>2</v>
      </c>
      <c r="AD186" s="4" t="s">
        <v>277</v>
      </c>
      <c r="AF186" s="1" t="s">
        <v>711</v>
      </c>
      <c r="AG186" s="1" t="s">
        <v>710</v>
      </c>
      <c r="AL186" s="1" t="s">
        <v>708</v>
      </c>
      <c r="AM186" s="99">
        <v>45216</v>
      </c>
      <c r="AQ186" s="4">
        <v>5.9859999999999998</v>
      </c>
      <c r="AR186" s="4" t="str">
        <f>IF(ISNA(MATCH($BA186,planas!$BA:$BA,0)),"ne","taip")</f>
        <v>ne</v>
      </c>
      <c r="BA186" s="1" t="s">
        <v>761</v>
      </c>
      <c r="BB186" s="1">
        <f>MOD(SUMPRODUCT(--($T$1:$T185&lt;&gt;$T$2:$T186)),2)</f>
        <v>0</v>
      </c>
    </row>
    <row r="187" spans="1:54" ht="14.4" hidden="1" x14ac:dyDescent="0.3">
      <c r="A187" s="1" t="s">
        <v>294</v>
      </c>
      <c r="B187" s="124" t="s">
        <v>233</v>
      </c>
      <c r="C187" s="1" t="s">
        <v>56</v>
      </c>
      <c r="D187" s="1">
        <v>1</v>
      </c>
      <c r="E187" s="2">
        <v>2920.0070000000001</v>
      </c>
      <c r="F187" s="2">
        <v>4531</v>
      </c>
      <c r="G187" s="2">
        <v>200.03800000000001</v>
      </c>
      <c r="H187" s="2">
        <v>4929.22</v>
      </c>
      <c r="J187" s="1">
        <v>15510</v>
      </c>
      <c r="L187" s="3" t="s">
        <v>278</v>
      </c>
      <c r="M187" s="115">
        <v>45278</v>
      </c>
      <c r="V187" s="4">
        <v>13.23</v>
      </c>
      <c r="W187" s="4">
        <v>2.012</v>
      </c>
      <c r="AD187" s="4" t="s">
        <v>277</v>
      </c>
      <c r="AF187" s="1" t="s">
        <v>710</v>
      </c>
      <c r="AG187" s="1" t="s">
        <v>707</v>
      </c>
      <c r="AL187" s="1" t="s">
        <v>708</v>
      </c>
      <c r="AM187" s="99">
        <v>45279</v>
      </c>
      <c r="AQ187" s="4">
        <v>26.262</v>
      </c>
      <c r="AR187" s="4" t="str">
        <f>IF(ISNA(MATCH($BA187,planas!$BA:$BA,0)),"ne","taip")</f>
        <v>ne</v>
      </c>
      <c r="BA187" s="1" t="s">
        <v>502</v>
      </c>
      <c r="BB187" s="1">
        <f>MOD(SUMPRODUCT(--($T$1:$T186&lt;&gt;$T$2:$T187)),2)</f>
        <v>0</v>
      </c>
    </row>
    <row r="188" spans="1:54" ht="14.4" hidden="1" x14ac:dyDescent="0.3">
      <c r="A188" s="1" t="s">
        <v>294</v>
      </c>
      <c r="B188" s="124" t="s">
        <v>217</v>
      </c>
      <c r="C188" s="1" t="s">
        <v>56</v>
      </c>
      <c r="D188" s="1">
        <v>1</v>
      </c>
      <c r="E188" s="2">
        <v>3130.0010000000002</v>
      </c>
      <c r="F188" s="2">
        <v>3804.9989999999998</v>
      </c>
      <c r="G188" s="2">
        <v>200.023</v>
      </c>
      <c r="H188" s="2">
        <v>4687.3500000000004</v>
      </c>
      <c r="J188" s="1">
        <v>10030</v>
      </c>
      <c r="L188" s="3" t="s">
        <v>753</v>
      </c>
      <c r="M188" s="115">
        <v>45244</v>
      </c>
      <c r="V188" s="4">
        <v>11.91</v>
      </c>
      <c r="W188" s="4">
        <v>1.9039999999999999</v>
      </c>
      <c r="AD188" s="4" t="s">
        <v>277</v>
      </c>
      <c r="AF188" s="1" t="s">
        <v>706</v>
      </c>
      <c r="AG188" s="1" t="s">
        <v>713</v>
      </c>
      <c r="AL188" s="1" t="s">
        <v>708</v>
      </c>
      <c r="AM188" s="99">
        <v>45245</v>
      </c>
      <c r="AP188" s="2">
        <v>1</v>
      </c>
      <c r="AQ188" s="4">
        <v>19.981999999999999</v>
      </c>
      <c r="AR188" s="4" t="str">
        <f>IF(ISNA(MATCH($BA188,planas!$BA:$BA,0)),"ne","taip")</f>
        <v>ne</v>
      </c>
      <c r="BA188" s="1" t="s">
        <v>419</v>
      </c>
      <c r="BB188" s="1">
        <f>MOD(SUMPRODUCT(--($T$1:$T187&lt;&gt;$T$2:$T188)),2)</f>
        <v>0</v>
      </c>
    </row>
    <row r="189" spans="1:54" ht="14.4" hidden="1" x14ac:dyDescent="0.3">
      <c r="A189" s="1" t="s">
        <v>294</v>
      </c>
      <c r="B189" s="124" t="s">
        <v>510</v>
      </c>
      <c r="C189" s="1" t="s">
        <v>57</v>
      </c>
      <c r="D189" s="1">
        <v>1</v>
      </c>
      <c r="E189" s="2">
        <v>3270.0070000000001</v>
      </c>
      <c r="F189" s="2">
        <v>3295.0050000000001</v>
      </c>
      <c r="G189" s="2">
        <v>545.02800000000002</v>
      </c>
      <c r="H189" s="2">
        <v>4097.49</v>
      </c>
      <c r="J189" s="1">
        <v>8720</v>
      </c>
      <c r="L189" s="3" t="s">
        <v>348</v>
      </c>
      <c r="M189" s="115">
        <v>45236</v>
      </c>
      <c r="V189" s="4">
        <v>10.77</v>
      </c>
      <c r="W189" s="4">
        <v>1.62</v>
      </c>
      <c r="AD189" s="4" t="s">
        <v>584</v>
      </c>
      <c r="AF189" s="1" t="s">
        <v>706</v>
      </c>
      <c r="AG189" s="1" t="s">
        <v>755</v>
      </c>
      <c r="AL189" s="1" t="s">
        <v>708</v>
      </c>
      <c r="AM189" s="99">
        <v>45237</v>
      </c>
      <c r="AP189" s="2">
        <v>1</v>
      </c>
      <c r="AQ189" s="4">
        <v>25.815000000000001</v>
      </c>
      <c r="AR189" s="4" t="str">
        <f>IF(ISNA(MATCH($BA189,planas!$BA:$BA,0)),"ne","taip")</f>
        <v>ne</v>
      </c>
      <c r="BA189" s="1" t="s">
        <v>509</v>
      </c>
      <c r="BB189" s="1">
        <f>MOD(SUMPRODUCT(--($T$1:$T188&lt;&gt;$T$2:$T189)),2)</f>
        <v>0</v>
      </c>
    </row>
    <row r="190" spans="1:54" ht="14.4" hidden="1" x14ac:dyDescent="0.3">
      <c r="A190" s="1" t="s">
        <v>294</v>
      </c>
      <c r="B190" s="124" t="s">
        <v>343</v>
      </c>
      <c r="C190" s="1" t="s">
        <v>57</v>
      </c>
      <c r="D190" s="1">
        <v>2</v>
      </c>
      <c r="E190" s="2">
        <v>3130.011</v>
      </c>
      <c r="F190" s="2">
        <v>3040.0070000000001</v>
      </c>
      <c r="G190" s="2">
        <v>545</v>
      </c>
      <c r="H190" s="2">
        <v>5374.64</v>
      </c>
      <c r="J190" s="1">
        <v>15390</v>
      </c>
      <c r="L190" s="3" t="s">
        <v>348</v>
      </c>
      <c r="M190" s="115">
        <v>45275</v>
      </c>
      <c r="V190" s="4">
        <v>9.52</v>
      </c>
      <c r="W190" s="4">
        <v>2.137</v>
      </c>
      <c r="AD190" s="4" t="s">
        <v>584</v>
      </c>
      <c r="AF190" s="1" t="s">
        <v>710</v>
      </c>
      <c r="AG190" s="1" t="s">
        <v>707</v>
      </c>
      <c r="AL190" s="1" t="s">
        <v>708</v>
      </c>
      <c r="AM190" s="99">
        <v>45278</v>
      </c>
      <c r="AQ190" s="4">
        <v>13.864000000000001</v>
      </c>
      <c r="AR190" s="4" t="str">
        <f>IF(ISNA(MATCH($BA190,planas!$BA:$BA,0)),"ne","taip")</f>
        <v>ne</v>
      </c>
      <c r="BA190" s="1" t="s">
        <v>587</v>
      </c>
      <c r="BB190" s="1">
        <f>MOD(SUMPRODUCT(--($T$1:$T189&lt;&gt;$T$2:$T190)),2)</f>
        <v>0</v>
      </c>
    </row>
    <row r="191" spans="1:54" ht="14.4" hidden="1" x14ac:dyDescent="0.3">
      <c r="A191" s="1" t="s">
        <v>294</v>
      </c>
      <c r="B191" s="124" t="s">
        <v>184</v>
      </c>
      <c r="C191" s="1" t="s">
        <v>56</v>
      </c>
      <c r="D191" s="1">
        <v>4</v>
      </c>
      <c r="E191" s="2">
        <v>3130</v>
      </c>
      <c r="F191" s="2">
        <v>2531</v>
      </c>
      <c r="G191" s="2">
        <v>200</v>
      </c>
      <c r="H191" s="2">
        <v>3846.23</v>
      </c>
      <c r="J191" s="1">
        <v>10070</v>
      </c>
      <c r="L191" s="3" t="s">
        <v>278</v>
      </c>
      <c r="M191" s="115">
        <v>45244</v>
      </c>
      <c r="V191" s="4">
        <v>7.92</v>
      </c>
      <c r="W191" s="4">
        <v>1.573</v>
      </c>
      <c r="AD191" s="4" t="s">
        <v>277</v>
      </c>
      <c r="AF191" s="1" t="s">
        <v>706</v>
      </c>
      <c r="AG191" s="1" t="s">
        <v>713</v>
      </c>
      <c r="AL191" s="1" t="s">
        <v>708</v>
      </c>
      <c r="AM191" s="99">
        <v>45245</v>
      </c>
      <c r="AQ191" s="4">
        <v>10.656000000000001</v>
      </c>
      <c r="AR191" s="4" t="str">
        <f>IF(ISNA(MATCH($BA191,planas!$BA:$BA,0)),"ne","taip")</f>
        <v>ne</v>
      </c>
      <c r="BA191" s="1" t="s">
        <v>445</v>
      </c>
      <c r="BB191" s="1">
        <f>MOD(SUMPRODUCT(--($T$1:$T190&lt;&gt;$T$2:$T191)),2)</f>
        <v>0</v>
      </c>
    </row>
    <row r="192" spans="1:54" ht="14.4" hidden="1" x14ac:dyDescent="0.3">
      <c r="A192" s="1" t="s">
        <v>294</v>
      </c>
      <c r="B192" s="124" t="s">
        <v>224</v>
      </c>
      <c r="C192" s="1" t="s">
        <v>56</v>
      </c>
      <c r="D192" s="1">
        <v>4</v>
      </c>
      <c r="E192" s="2">
        <v>2920.0070000000001</v>
      </c>
      <c r="F192" s="2">
        <v>3845</v>
      </c>
      <c r="G192" s="2">
        <v>200.00299999999999</v>
      </c>
      <c r="H192" s="2">
        <v>5406.34</v>
      </c>
      <c r="J192" s="1">
        <v>11130</v>
      </c>
      <c r="L192" s="3" t="s">
        <v>753</v>
      </c>
      <c r="M192" s="115">
        <v>45250</v>
      </c>
      <c r="V192" s="4">
        <v>11.23</v>
      </c>
      <c r="W192" s="4">
        <v>2.202</v>
      </c>
      <c r="AD192" s="4" t="s">
        <v>277</v>
      </c>
      <c r="AF192" s="1" t="s">
        <v>712</v>
      </c>
      <c r="AG192" s="1" t="s">
        <v>711</v>
      </c>
      <c r="AL192" s="1" t="s">
        <v>708</v>
      </c>
      <c r="AM192" s="99">
        <v>45251</v>
      </c>
      <c r="AQ192" s="4">
        <v>30.431000000000001</v>
      </c>
      <c r="AR192" s="4" t="str">
        <f>IF(ISNA(MATCH($BA192,planas!$BA:$BA,0)),"ne","taip")</f>
        <v>ne</v>
      </c>
      <c r="BA192" s="1" t="s">
        <v>408</v>
      </c>
      <c r="BB192" s="1">
        <f>MOD(SUMPRODUCT(--($T$1:$T191&lt;&gt;$T$2:$T192)),2)</f>
        <v>0</v>
      </c>
    </row>
    <row r="193" spans="1:54" ht="14.4" x14ac:dyDescent="0.3">
      <c r="A193" s="1" t="s">
        <v>294</v>
      </c>
      <c r="B193" s="124" t="s">
        <v>199</v>
      </c>
      <c r="C193" s="1" t="s">
        <v>56</v>
      </c>
      <c r="D193" s="1">
        <v>1</v>
      </c>
      <c r="E193" s="2">
        <v>3400.0070000000001</v>
      </c>
      <c r="F193" s="2">
        <v>2460</v>
      </c>
      <c r="G193" s="2">
        <v>200.00200000000001</v>
      </c>
      <c r="H193" s="2">
        <v>3959.82</v>
      </c>
      <c r="J193" s="1">
        <v>6140</v>
      </c>
      <c r="K193" s="3">
        <v>45159</v>
      </c>
      <c r="L193" s="3" t="s">
        <v>753</v>
      </c>
      <c r="M193" s="115">
        <v>45212</v>
      </c>
      <c r="T193" s="1">
        <v>5</v>
      </c>
      <c r="U193" s="113">
        <v>0.45596153846153847</v>
      </c>
      <c r="V193" s="4">
        <v>8.36</v>
      </c>
      <c r="W193" s="4">
        <v>1.61</v>
      </c>
      <c r="AC193" s="1">
        <v>3</v>
      </c>
      <c r="AD193" s="4" t="s">
        <v>277</v>
      </c>
      <c r="AF193" s="1" t="s">
        <v>711</v>
      </c>
      <c r="AG193" s="1" t="s">
        <v>710</v>
      </c>
      <c r="AL193" s="1" t="s">
        <v>708</v>
      </c>
      <c r="AM193" s="99">
        <v>45215</v>
      </c>
      <c r="AQ193" s="4">
        <v>31.757999999999999</v>
      </c>
      <c r="AR193" s="4" t="str">
        <f>IF(ISNA(MATCH($BA193,planas!$BA:$BA,0)),"ne","taip")</f>
        <v>taip</v>
      </c>
      <c r="BA193" s="1" t="s">
        <v>772</v>
      </c>
      <c r="BB193" s="1">
        <f>MOD(SUMPRODUCT(--($T$1:$T192&lt;&gt;$T$2:$T193)),2)</f>
        <v>1</v>
      </c>
    </row>
    <row r="194" spans="1:54" ht="14.4" hidden="1" x14ac:dyDescent="0.3">
      <c r="A194" s="1" t="s">
        <v>294</v>
      </c>
      <c r="B194" s="124" t="s">
        <v>355</v>
      </c>
      <c r="C194" s="1" t="s">
        <v>57</v>
      </c>
      <c r="D194" s="1">
        <v>2</v>
      </c>
      <c r="E194" s="2">
        <v>3280.0070000000001</v>
      </c>
      <c r="F194" s="2">
        <v>2239.9989999999998</v>
      </c>
      <c r="G194" s="2">
        <v>545.00699999999995</v>
      </c>
      <c r="H194" s="2">
        <v>3435.98</v>
      </c>
      <c r="J194" s="1">
        <v>12020</v>
      </c>
      <c r="L194" s="3" t="s">
        <v>753</v>
      </c>
      <c r="M194" s="115">
        <v>45254</v>
      </c>
      <c r="V194" s="4">
        <v>7.35</v>
      </c>
      <c r="W194" s="4">
        <v>1.361</v>
      </c>
      <c r="AD194" s="4" t="s">
        <v>584</v>
      </c>
      <c r="AF194" s="1" t="s">
        <v>712</v>
      </c>
      <c r="AG194" s="1" t="s">
        <v>706</v>
      </c>
      <c r="AL194" s="1" t="s">
        <v>708</v>
      </c>
      <c r="AM194" s="99">
        <v>45257</v>
      </c>
      <c r="AQ194" s="4">
        <v>21.288</v>
      </c>
      <c r="AR194" s="4" t="str">
        <f>IF(ISNA(MATCH($BA194,planas!$BA:$BA,0)),"ne","taip")</f>
        <v>ne</v>
      </c>
      <c r="BA194" s="1" t="s">
        <v>574</v>
      </c>
      <c r="BB194" s="1">
        <f>MOD(SUMPRODUCT(--($T$1:$T193&lt;&gt;$T$2:$T194)),2)</f>
        <v>0</v>
      </c>
    </row>
    <row r="195" spans="1:54" ht="14.4" hidden="1" x14ac:dyDescent="0.3">
      <c r="A195" s="1" t="s">
        <v>294</v>
      </c>
      <c r="B195" s="124" t="s">
        <v>315</v>
      </c>
      <c r="C195" s="1" t="s">
        <v>57</v>
      </c>
      <c r="D195" s="1">
        <v>2</v>
      </c>
      <c r="E195" s="2">
        <v>3280.0070000000001</v>
      </c>
      <c r="F195" s="2">
        <v>5165.0429999999997</v>
      </c>
      <c r="G195" s="2">
        <v>545.00599999999997</v>
      </c>
      <c r="H195" s="2">
        <v>6065.23</v>
      </c>
      <c r="J195" s="1">
        <v>9820</v>
      </c>
      <c r="L195" s="3" t="s">
        <v>349</v>
      </c>
      <c r="M195" s="115">
        <v>45243</v>
      </c>
      <c r="V195" s="4">
        <v>16.940000000000001</v>
      </c>
      <c r="W195" s="4">
        <v>2.39</v>
      </c>
      <c r="AD195" s="4" t="s">
        <v>584</v>
      </c>
      <c r="AF195" s="1" t="s">
        <v>706</v>
      </c>
      <c r="AG195" s="1" t="s">
        <v>713</v>
      </c>
      <c r="AL195" s="1" t="s">
        <v>708</v>
      </c>
      <c r="AM195" s="99">
        <v>45244</v>
      </c>
      <c r="AP195" s="2">
        <v>1</v>
      </c>
      <c r="AQ195" s="4">
        <v>39.823999999999998</v>
      </c>
      <c r="AR195" s="4" t="str">
        <f>IF(ISNA(MATCH($BA195,planas!$BA:$BA,0)),"ne","taip")</f>
        <v>ne</v>
      </c>
      <c r="BA195" s="1" t="s">
        <v>589</v>
      </c>
      <c r="BB195" s="1">
        <f>MOD(SUMPRODUCT(--($T$1:$T194&lt;&gt;$T$2:$T195)),2)</f>
        <v>0</v>
      </c>
    </row>
    <row r="196" spans="1:54" ht="14.4" hidden="1" x14ac:dyDescent="0.3">
      <c r="A196" s="1" t="s">
        <v>294</v>
      </c>
      <c r="B196" s="124" t="s">
        <v>263</v>
      </c>
      <c r="C196" s="1" t="s">
        <v>56</v>
      </c>
      <c r="D196" s="1">
        <v>1</v>
      </c>
      <c r="E196" s="2">
        <v>3420.0070000000001</v>
      </c>
      <c r="F196" s="2">
        <v>4531</v>
      </c>
      <c r="G196" s="2">
        <v>200.03800000000001</v>
      </c>
      <c r="H196" s="2">
        <v>6032.18</v>
      </c>
      <c r="J196" s="1">
        <v>14540</v>
      </c>
      <c r="L196" s="3" t="s">
        <v>278</v>
      </c>
      <c r="M196" s="115">
        <v>45271</v>
      </c>
      <c r="V196" s="4">
        <v>15.5</v>
      </c>
      <c r="W196" s="4">
        <v>2.464</v>
      </c>
      <c r="AD196" s="4" t="s">
        <v>277</v>
      </c>
      <c r="AF196" s="1" t="s">
        <v>710</v>
      </c>
      <c r="AG196" s="1" t="s">
        <v>710</v>
      </c>
      <c r="AL196" s="1" t="s">
        <v>708</v>
      </c>
      <c r="AM196" s="99">
        <v>45272</v>
      </c>
      <c r="AQ196" s="4">
        <v>27.138000000000002</v>
      </c>
      <c r="AR196" s="4" t="str">
        <f>IF(ISNA(MATCH($BA196,planas!$BA:$BA,0)),"ne","taip")</f>
        <v>ne</v>
      </c>
      <c r="BA196" s="1" t="s">
        <v>644</v>
      </c>
      <c r="BB196" s="1">
        <f>MOD(SUMPRODUCT(--($T$1:$T195&lt;&gt;$T$2:$T196)),2)</f>
        <v>0</v>
      </c>
    </row>
    <row r="197" spans="1:54" ht="14.4" hidden="1" x14ac:dyDescent="0.3">
      <c r="A197" s="1" t="s">
        <v>294</v>
      </c>
      <c r="B197" s="124" t="s">
        <v>210</v>
      </c>
      <c r="C197" s="1" t="s">
        <v>56</v>
      </c>
      <c r="D197" s="1">
        <v>4</v>
      </c>
      <c r="E197" s="2">
        <v>3130.0070000000001</v>
      </c>
      <c r="F197" s="2">
        <v>6609.9989999999998</v>
      </c>
      <c r="G197" s="2">
        <v>200.03700000000001</v>
      </c>
      <c r="H197" s="2">
        <v>8937.85</v>
      </c>
      <c r="J197" s="1">
        <v>12160</v>
      </c>
      <c r="L197" s="3" t="s">
        <v>753</v>
      </c>
      <c r="M197" s="115">
        <v>45257</v>
      </c>
      <c r="V197" s="4">
        <v>20.69</v>
      </c>
      <c r="W197" s="4">
        <v>3.6520000000000001</v>
      </c>
      <c r="AD197" s="4" t="s">
        <v>277</v>
      </c>
      <c r="AF197" s="1" t="s">
        <v>712</v>
      </c>
      <c r="AG197" s="1" t="s">
        <v>706</v>
      </c>
      <c r="AL197" s="1" t="s">
        <v>708</v>
      </c>
      <c r="AM197" s="99">
        <v>45258</v>
      </c>
      <c r="AQ197" s="4">
        <v>30.646000000000001</v>
      </c>
      <c r="AR197" s="4" t="str">
        <f>IF(ISNA(MATCH($BA197,planas!$BA:$BA,0)),"ne","taip")</f>
        <v>ne</v>
      </c>
      <c r="BA197" s="1" t="s">
        <v>441</v>
      </c>
      <c r="BB197" s="1">
        <f>MOD(SUMPRODUCT(--($T$1:$T196&lt;&gt;$T$2:$T197)),2)</f>
        <v>0</v>
      </c>
    </row>
    <row r="198" spans="1:54" ht="14.4" hidden="1" x14ac:dyDescent="0.3">
      <c r="A198" s="1" t="s">
        <v>294</v>
      </c>
      <c r="B198" s="124" t="s">
        <v>203</v>
      </c>
      <c r="C198" s="1" t="s">
        <v>56</v>
      </c>
      <c r="D198" s="1">
        <v>4</v>
      </c>
      <c r="E198" s="2">
        <v>2920.0070000000001</v>
      </c>
      <c r="F198" s="2">
        <v>4560</v>
      </c>
      <c r="G198" s="2">
        <v>200.04</v>
      </c>
      <c r="H198" s="2">
        <v>6370.73</v>
      </c>
      <c r="J198" s="1">
        <v>11120</v>
      </c>
      <c r="L198" s="3" t="s">
        <v>753</v>
      </c>
      <c r="M198" s="115">
        <v>45250</v>
      </c>
      <c r="V198" s="4">
        <v>13.32</v>
      </c>
      <c r="W198" s="4">
        <v>2.5920000000000001</v>
      </c>
      <c r="AD198" s="4" t="s">
        <v>277</v>
      </c>
      <c r="AF198" s="1" t="s">
        <v>712</v>
      </c>
      <c r="AG198" s="1" t="s">
        <v>711</v>
      </c>
      <c r="AL198" s="1" t="s">
        <v>708</v>
      </c>
      <c r="AM198" s="99">
        <v>45251</v>
      </c>
      <c r="AQ198" s="4">
        <v>45.067999999999998</v>
      </c>
      <c r="AR198" s="4" t="str">
        <f>IF(ISNA(MATCH($BA198,planas!$BA:$BA,0)),"ne","taip")</f>
        <v>ne</v>
      </c>
      <c r="BA198" s="1" t="s">
        <v>476</v>
      </c>
      <c r="BB198" s="1">
        <f>MOD(SUMPRODUCT(--($T$1:$T197&lt;&gt;$T$2:$T198)),2)</f>
        <v>0</v>
      </c>
    </row>
    <row r="199" spans="1:54" ht="14.4" hidden="1" x14ac:dyDescent="0.3">
      <c r="A199" s="1" t="s">
        <v>294</v>
      </c>
      <c r="B199" s="124" t="s">
        <v>327</v>
      </c>
      <c r="C199" s="1" t="s">
        <v>57</v>
      </c>
      <c r="D199" s="1">
        <v>1</v>
      </c>
      <c r="E199" s="2">
        <v>3280.0070000000001</v>
      </c>
      <c r="F199" s="2">
        <v>8090.0020000000004</v>
      </c>
      <c r="G199" s="2">
        <v>595</v>
      </c>
      <c r="H199" s="2">
        <v>8654.76</v>
      </c>
      <c r="J199" s="1">
        <v>10820</v>
      </c>
      <c r="L199" s="3" t="s">
        <v>349</v>
      </c>
      <c r="M199" s="115">
        <v>45247</v>
      </c>
      <c r="V199" s="4">
        <v>26.54</v>
      </c>
      <c r="W199" s="4">
        <v>3.38</v>
      </c>
      <c r="AD199" s="4" t="s">
        <v>584</v>
      </c>
      <c r="AF199" s="1" t="s">
        <v>712</v>
      </c>
      <c r="AG199" s="1" t="s">
        <v>711</v>
      </c>
      <c r="AL199" s="1" t="s">
        <v>280</v>
      </c>
      <c r="AM199" s="99">
        <v>45250</v>
      </c>
      <c r="AP199" s="2">
        <v>5</v>
      </c>
      <c r="AQ199" s="4">
        <v>49.936999999999998</v>
      </c>
      <c r="AR199" s="4" t="str">
        <f>IF(ISNA(MATCH($BA199,planas!$BA:$BA,0)),"ne","taip")</f>
        <v>ne</v>
      </c>
      <c r="BA199" s="1" t="s">
        <v>559</v>
      </c>
      <c r="BB199" s="1">
        <f>MOD(SUMPRODUCT(--($T$1:$T198&lt;&gt;$T$2:$T199)),2)</f>
        <v>0</v>
      </c>
    </row>
    <row r="200" spans="1:54" ht="14.4" hidden="1" x14ac:dyDescent="0.3">
      <c r="A200" s="1" t="s">
        <v>294</v>
      </c>
      <c r="B200" s="124" t="s">
        <v>289</v>
      </c>
      <c r="C200" s="1" t="s">
        <v>56</v>
      </c>
      <c r="D200" s="1">
        <v>2</v>
      </c>
      <c r="E200" s="2">
        <v>1160</v>
      </c>
      <c r="F200" s="2">
        <v>6242</v>
      </c>
      <c r="G200" s="2">
        <v>140.001</v>
      </c>
      <c r="H200" s="2">
        <v>2491.33</v>
      </c>
      <c r="J200" s="1">
        <v>16200</v>
      </c>
      <c r="L200" s="3" t="s">
        <v>278</v>
      </c>
      <c r="M200" s="115">
        <v>45292</v>
      </c>
      <c r="V200" s="4">
        <v>7.24</v>
      </c>
      <c r="W200" s="4">
        <v>1.008</v>
      </c>
      <c r="AD200" s="4" t="s">
        <v>359</v>
      </c>
      <c r="AF200" s="1" t="s">
        <v>710</v>
      </c>
      <c r="AG200" s="1" t="s">
        <v>709</v>
      </c>
      <c r="AL200" s="1" t="s">
        <v>708</v>
      </c>
      <c r="AM200" s="99">
        <v>45287</v>
      </c>
      <c r="AQ200" s="4">
        <v>20.995000000000001</v>
      </c>
      <c r="AR200" s="4" t="str">
        <f>IF(ISNA(MATCH($BA200,planas!$BA:$BA,0)),"ne","taip")</f>
        <v>ne</v>
      </c>
      <c r="BA200" s="1" t="s">
        <v>686</v>
      </c>
      <c r="BB200" s="1">
        <f>MOD(SUMPRODUCT(--($T$1:$T199&lt;&gt;$T$2:$T200)),2)</f>
        <v>0</v>
      </c>
    </row>
    <row r="201" spans="1:54" ht="14.4" hidden="1" x14ac:dyDescent="0.3">
      <c r="A201" s="1" t="s">
        <v>294</v>
      </c>
      <c r="B201" s="124" t="s">
        <v>273</v>
      </c>
      <c r="C201" s="1" t="s">
        <v>56</v>
      </c>
      <c r="D201" s="1">
        <v>1</v>
      </c>
      <c r="E201" s="2">
        <v>3400.0070000000001</v>
      </c>
      <c r="F201" s="2">
        <v>2460</v>
      </c>
      <c r="G201" s="2">
        <v>200.00200000000001</v>
      </c>
      <c r="H201" s="2">
        <v>3959.82</v>
      </c>
      <c r="J201" s="1">
        <v>14390</v>
      </c>
      <c r="L201" s="3" t="s">
        <v>753</v>
      </c>
      <c r="M201" s="115">
        <v>45271</v>
      </c>
      <c r="V201" s="4">
        <v>8.36</v>
      </c>
      <c r="W201" s="4">
        <v>1.61</v>
      </c>
      <c r="AD201" s="4" t="s">
        <v>277</v>
      </c>
      <c r="AF201" s="1" t="s">
        <v>710</v>
      </c>
      <c r="AG201" s="1" t="s">
        <v>710</v>
      </c>
      <c r="AL201" s="1" t="s">
        <v>708</v>
      </c>
      <c r="AM201" s="99">
        <v>45272</v>
      </c>
      <c r="AQ201" s="4">
        <v>31.757999999999999</v>
      </c>
      <c r="AR201" s="4" t="str">
        <f>IF(ISNA(MATCH($BA201,planas!$BA:$BA,0)),"ne","taip")</f>
        <v>ne</v>
      </c>
      <c r="BA201" s="1" t="s">
        <v>635</v>
      </c>
      <c r="BB201" s="1">
        <f>MOD(SUMPRODUCT(--($T$1:$T200&lt;&gt;$T$2:$T201)),2)</f>
        <v>0</v>
      </c>
    </row>
    <row r="202" spans="1:54" ht="14.4" hidden="1" x14ac:dyDescent="0.3">
      <c r="A202" s="1" t="s">
        <v>294</v>
      </c>
      <c r="B202" s="124" t="s">
        <v>337</v>
      </c>
      <c r="C202" s="1" t="s">
        <v>57</v>
      </c>
      <c r="D202" s="1">
        <v>1</v>
      </c>
      <c r="E202" s="2">
        <v>3780.0039999999999</v>
      </c>
      <c r="F202" s="2">
        <v>4409.973</v>
      </c>
      <c r="G202" s="2">
        <v>595.01099999999997</v>
      </c>
      <c r="H202" s="2">
        <v>6805.63</v>
      </c>
      <c r="J202" s="1">
        <v>14210</v>
      </c>
      <c r="L202" s="3" t="s">
        <v>349</v>
      </c>
      <c r="M202" s="115">
        <v>45268</v>
      </c>
      <c r="V202" s="4">
        <v>16.670000000000002</v>
      </c>
      <c r="W202" s="4">
        <v>2.6280000000000001</v>
      </c>
      <c r="AD202" s="4" t="s">
        <v>584</v>
      </c>
      <c r="AF202" s="1" t="s">
        <v>710</v>
      </c>
      <c r="AG202" s="1" t="s">
        <v>710</v>
      </c>
      <c r="AL202" s="1" t="s">
        <v>708</v>
      </c>
      <c r="AM202" s="99">
        <v>45271</v>
      </c>
      <c r="AP202" s="2">
        <v>1</v>
      </c>
      <c r="AQ202" s="4">
        <v>31.347999999999999</v>
      </c>
      <c r="AR202" s="4" t="str">
        <f>IF(ISNA(MATCH($BA202,planas!$BA:$BA,0)),"ne","taip")</f>
        <v>ne</v>
      </c>
      <c r="BA202" s="1" t="s">
        <v>582</v>
      </c>
      <c r="BB202" s="1">
        <f>MOD(SUMPRODUCT(--($T$1:$T201&lt;&gt;$T$2:$T202)),2)</f>
        <v>0</v>
      </c>
    </row>
    <row r="203" spans="1:54" ht="14.4" hidden="1" x14ac:dyDescent="0.3">
      <c r="A203" s="1" t="s">
        <v>294</v>
      </c>
      <c r="B203" s="124" t="s">
        <v>258</v>
      </c>
      <c r="C203" s="1" t="s">
        <v>56</v>
      </c>
      <c r="D203" s="1">
        <v>1</v>
      </c>
      <c r="E203" s="2">
        <v>2920.0070000000001</v>
      </c>
      <c r="F203" s="2">
        <v>4145</v>
      </c>
      <c r="G203" s="2">
        <v>200.00299999999999</v>
      </c>
      <c r="H203" s="2">
        <v>5881.74</v>
      </c>
      <c r="J203" s="1">
        <v>15450</v>
      </c>
      <c r="L203" s="3" t="s">
        <v>753</v>
      </c>
      <c r="M203" s="115">
        <v>45275</v>
      </c>
      <c r="V203" s="4">
        <v>12.1</v>
      </c>
      <c r="W203" s="4">
        <v>2.4060000000000001</v>
      </c>
      <c r="AD203" s="4" t="s">
        <v>277</v>
      </c>
      <c r="AF203" s="1" t="s">
        <v>710</v>
      </c>
      <c r="AG203" s="1" t="s">
        <v>707</v>
      </c>
      <c r="AL203" s="1" t="s">
        <v>708</v>
      </c>
      <c r="AM203" s="99">
        <v>45278</v>
      </c>
      <c r="AQ203" s="4">
        <v>16.350000000000001</v>
      </c>
      <c r="AR203" s="4" t="str">
        <f>IF(ISNA(MATCH($BA203,planas!$BA:$BA,0)),"ne","taip")</f>
        <v>ne</v>
      </c>
      <c r="BA203" s="1" t="s">
        <v>660</v>
      </c>
      <c r="BB203" s="1">
        <f>MOD(SUMPRODUCT(--($T$1:$T202&lt;&gt;$T$2:$T203)),2)</f>
        <v>0</v>
      </c>
    </row>
    <row r="204" spans="1:54" ht="14.4" hidden="1" x14ac:dyDescent="0.3">
      <c r="A204" s="1" t="s">
        <v>294</v>
      </c>
      <c r="B204" s="124" t="s">
        <v>200</v>
      </c>
      <c r="C204" s="1" t="s">
        <v>56</v>
      </c>
      <c r="D204" s="1">
        <v>1</v>
      </c>
      <c r="E204" s="2">
        <v>2920.0070000000001</v>
      </c>
      <c r="F204" s="2">
        <v>3845</v>
      </c>
      <c r="G204" s="2">
        <v>200.00299999999999</v>
      </c>
      <c r="H204" s="2">
        <v>5400.99</v>
      </c>
      <c r="J204" s="1">
        <v>15470</v>
      </c>
      <c r="L204" s="3" t="s">
        <v>753</v>
      </c>
      <c r="M204" s="115">
        <v>45278</v>
      </c>
      <c r="V204" s="4">
        <v>11.23</v>
      </c>
      <c r="W204" s="4">
        <v>2.202</v>
      </c>
      <c r="AD204" s="4" t="s">
        <v>277</v>
      </c>
      <c r="AF204" s="1" t="s">
        <v>710</v>
      </c>
      <c r="AG204" s="1" t="s">
        <v>707</v>
      </c>
      <c r="AL204" s="1" t="s">
        <v>708</v>
      </c>
      <c r="AM204" s="99">
        <v>45279</v>
      </c>
      <c r="AQ204" s="4">
        <v>30.567</v>
      </c>
      <c r="AR204" s="4" t="str">
        <f>IF(ISNA(MATCH($BA204,planas!$BA:$BA,0)),"ne","taip")</f>
        <v>ne</v>
      </c>
      <c r="BA204" s="1" t="s">
        <v>676</v>
      </c>
      <c r="BB204" s="1">
        <f>MOD(SUMPRODUCT(--($T$1:$T203&lt;&gt;$T$2:$T204)),2)</f>
        <v>0</v>
      </c>
    </row>
    <row r="205" spans="1:54" ht="14.4" hidden="1" x14ac:dyDescent="0.3">
      <c r="A205" s="1" t="s">
        <v>294</v>
      </c>
      <c r="B205" s="124" t="s">
        <v>205</v>
      </c>
      <c r="C205" s="1" t="s">
        <v>56</v>
      </c>
      <c r="D205" s="1">
        <v>4</v>
      </c>
      <c r="E205" s="2">
        <v>3130.0070000000001</v>
      </c>
      <c r="F205" s="2">
        <v>2081.0010000000002</v>
      </c>
      <c r="G205" s="2">
        <v>200.00399999999999</v>
      </c>
      <c r="H205" s="2">
        <v>3124.13</v>
      </c>
      <c r="J205" s="1">
        <v>12120</v>
      </c>
      <c r="L205" s="3" t="s">
        <v>278</v>
      </c>
      <c r="M205" s="115">
        <v>45254</v>
      </c>
      <c r="V205" s="4">
        <v>6.51</v>
      </c>
      <c r="W205" s="4">
        <v>1.272</v>
      </c>
      <c r="AD205" s="4" t="s">
        <v>277</v>
      </c>
      <c r="AF205" s="1" t="s">
        <v>712</v>
      </c>
      <c r="AG205" s="1" t="s">
        <v>706</v>
      </c>
      <c r="AL205" s="1" t="s">
        <v>708</v>
      </c>
      <c r="AM205" s="99">
        <v>45257</v>
      </c>
      <c r="AQ205" s="4">
        <v>20.077999999999999</v>
      </c>
      <c r="AR205" s="4" t="str">
        <f>IF(ISNA(MATCH($BA205,planas!$BA:$BA,0)),"ne","taip")</f>
        <v>ne</v>
      </c>
      <c r="BA205" s="1" t="s">
        <v>480</v>
      </c>
      <c r="BB205" s="1">
        <f>MOD(SUMPRODUCT(--($T$1:$T204&lt;&gt;$T$2:$T205)),2)</f>
        <v>0</v>
      </c>
    </row>
    <row r="206" spans="1:54" ht="14.4" hidden="1" x14ac:dyDescent="0.3">
      <c r="A206" s="1" t="s">
        <v>294</v>
      </c>
      <c r="B206" s="124" t="s">
        <v>269</v>
      </c>
      <c r="C206" s="1" t="s">
        <v>56</v>
      </c>
      <c r="D206" s="1">
        <v>4</v>
      </c>
      <c r="E206" s="2">
        <v>2920</v>
      </c>
      <c r="F206" s="2">
        <v>2531</v>
      </c>
      <c r="G206" s="2">
        <v>200.001</v>
      </c>
      <c r="H206" s="2">
        <v>3588.59</v>
      </c>
      <c r="J206" s="1">
        <v>10060</v>
      </c>
      <c r="L206" s="3" t="s">
        <v>278</v>
      </c>
      <c r="M206" s="115">
        <v>45244</v>
      </c>
      <c r="V206" s="4">
        <v>7.39</v>
      </c>
      <c r="W206" s="4">
        <v>1.4670000000000001</v>
      </c>
      <c r="AD206" s="4" t="s">
        <v>277</v>
      </c>
      <c r="AF206" s="1" t="s">
        <v>706</v>
      </c>
      <c r="AG206" s="1" t="s">
        <v>713</v>
      </c>
      <c r="AL206" s="1" t="s">
        <v>708</v>
      </c>
      <c r="AM206" s="99">
        <v>45245</v>
      </c>
      <c r="AQ206" s="4">
        <v>10.656000000000001</v>
      </c>
      <c r="AR206" s="4" t="str">
        <f>IF(ISNA(MATCH($BA206,planas!$BA:$BA,0)),"ne","taip")</f>
        <v>ne</v>
      </c>
      <c r="BA206" s="1" t="s">
        <v>428</v>
      </c>
      <c r="BB206" s="1">
        <f>MOD(SUMPRODUCT(--($T$1:$T205&lt;&gt;$T$2:$T206)),2)</f>
        <v>0</v>
      </c>
    </row>
    <row r="207" spans="1:54" ht="14.4" hidden="1" x14ac:dyDescent="0.3">
      <c r="A207" s="1" t="s">
        <v>294</v>
      </c>
      <c r="B207" s="124" t="s">
        <v>533</v>
      </c>
      <c r="C207" s="1" t="s">
        <v>57</v>
      </c>
      <c r="D207" s="1">
        <v>1</v>
      </c>
      <c r="E207" s="2">
        <v>3270.0070000000001</v>
      </c>
      <c r="F207" s="2">
        <v>6234.9930000000004</v>
      </c>
      <c r="G207" s="2">
        <v>595.00099999999998</v>
      </c>
      <c r="H207" s="2">
        <v>7530.96</v>
      </c>
      <c r="J207" s="1">
        <v>8680</v>
      </c>
      <c r="L207" s="3" t="s">
        <v>349</v>
      </c>
      <c r="M207" s="115">
        <v>45236</v>
      </c>
      <c r="V207" s="4">
        <v>20.39</v>
      </c>
      <c r="W207" s="4">
        <v>2.9289999999999998</v>
      </c>
      <c r="AD207" s="4" t="s">
        <v>584</v>
      </c>
      <c r="AF207" s="1" t="s">
        <v>706</v>
      </c>
      <c r="AG207" s="1" t="s">
        <v>755</v>
      </c>
      <c r="AL207" s="1" t="s">
        <v>708</v>
      </c>
      <c r="AM207" s="99">
        <v>45237</v>
      </c>
      <c r="AP207" s="2">
        <v>2</v>
      </c>
      <c r="AQ207" s="4">
        <v>32.78</v>
      </c>
      <c r="AR207" s="4" t="str">
        <f>IF(ISNA(MATCH($BA207,planas!$BA:$BA,0)),"ne","taip")</f>
        <v>ne</v>
      </c>
      <c r="BA207" s="1" t="s">
        <v>532</v>
      </c>
      <c r="BB207" s="1">
        <f>MOD(SUMPRODUCT(--($T$1:$T206&lt;&gt;$T$2:$T207)),2)</f>
        <v>0</v>
      </c>
    </row>
    <row r="208" spans="1:54" ht="14.4" hidden="1" x14ac:dyDescent="0.3">
      <c r="A208" s="1" t="s">
        <v>294</v>
      </c>
      <c r="B208" s="124" t="s">
        <v>354</v>
      </c>
      <c r="C208" s="1" t="s">
        <v>57</v>
      </c>
      <c r="D208" s="1">
        <v>2</v>
      </c>
      <c r="E208" s="2">
        <v>3280.0059999999999</v>
      </c>
      <c r="F208" s="2">
        <v>5464.9859999999999</v>
      </c>
      <c r="G208" s="2">
        <v>595.00099999999998</v>
      </c>
      <c r="H208" s="2">
        <v>7355.5</v>
      </c>
      <c r="J208" s="1">
        <v>11980</v>
      </c>
      <c r="L208" s="3" t="s">
        <v>349</v>
      </c>
      <c r="M208" s="115">
        <v>45254</v>
      </c>
      <c r="V208" s="4">
        <v>17.93</v>
      </c>
      <c r="W208" s="4">
        <v>2.8410000000000002</v>
      </c>
      <c r="AD208" s="4" t="s">
        <v>744</v>
      </c>
      <c r="AF208" s="1" t="s">
        <v>712</v>
      </c>
      <c r="AG208" s="1" t="s">
        <v>706</v>
      </c>
      <c r="AL208" s="1" t="s">
        <v>708</v>
      </c>
      <c r="AM208" s="99">
        <v>45257</v>
      </c>
      <c r="AP208" s="2">
        <v>2</v>
      </c>
      <c r="AQ208" s="4">
        <v>34.424999999999997</v>
      </c>
      <c r="AR208" s="4" t="str">
        <f>IF(ISNA(MATCH($BA208,planas!$BA:$BA,0)),"ne","taip")</f>
        <v>ne</v>
      </c>
      <c r="BA208" s="1" t="s">
        <v>576</v>
      </c>
      <c r="BB208" s="1">
        <f>MOD(SUMPRODUCT(--($T$1:$T207&lt;&gt;$T$2:$T208)),2)</f>
        <v>0</v>
      </c>
    </row>
    <row r="209" spans="1:54" ht="14.4" hidden="1" x14ac:dyDescent="0.3">
      <c r="A209" s="1" t="s">
        <v>294</v>
      </c>
      <c r="B209" s="124" t="s">
        <v>145</v>
      </c>
      <c r="C209" s="1" t="s">
        <v>56</v>
      </c>
      <c r="D209" s="1">
        <v>3</v>
      </c>
      <c r="E209" s="2">
        <v>3130.0010000000002</v>
      </c>
      <c r="F209" s="2">
        <v>5481.0010000000002</v>
      </c>
      <c r="G209" s="2">
        <v>200.02500000000001</v>
      </c>
      <c r="H209" s="2">
        <v>7195.27</v>
      </c>
      <c r="J209" s="1">
        <v>13390</v>
      </c>
      <c r="L209" s="3" t="s">
        <v>278</v>
      </c>
      <c r="M209" s="115">
        <v>45264</v>
      </c>
      <c r="V209" s="4">
        <v>17.16</v>
      </c>
      <c r="W209" s="4">
        <v>2.931</v>
      </c>
      <c r="AD209" s="4" t="s">
        <v>277</v>
      </c>
      <c r="AF209" s="1" t="s">
        <v>710</v>
      </c>
      <c r="AG209" s="1" t="s">
        <v>712</v>
      </c>
      <c r="AL209" s="1" t="s">
        <v>708</v>
      </c>
      <c r="AM209" s="99">
        <v>45265</v>
      </c>
      <c r="AQ209" s="4">
        <v>33.822000000000003</v>
      </c>
      <c r="AR209" s="4" t="str">
        <f>IF(ISNA(MATCH($BA209,planas!$BA:$BA,0)),"ne","taip")</f>
        <v>ne</v>
      </c>
      <c r="BA209" s="1" t="s">
        <v>454</v>
      </c>
      <c r="BB209" s="1">
        <f>MOD(SUMPRODUCT(--($T$1:$T208&lt;&gt;$T$2:$T209)),2)</f>
        <v>0</v>
      </c>
    </row>
    <row r="210" spans="1:54" ht="14.4" hidden="1" x14ac:dyDescent="0.3">
      <c r="A210" s="1" t="s">
        <v>294</v>
      </c>
      <c r="B210" s="124" t="s">
        <v>187</v>
      </c>
      <c r="C210" s="1" t="s">
        <v>56</v>
      </c>
      <c r="D210" s="1">
        <v>4</v>
      </c>
      <c r="E210" s="2">
        <v>2920.0070000000001</v>
      </c>
      <c r="F210" s="2">
        <v>4145</v>
      </c>
      <c r="G210" s="2">
        <v>200.00299999999999</v>
      </c>
      <c r="H210" s="2">
        <v>5884.73</v>
      </c>
      <c r="J210" s="1">
        <v>12230</v>
      </c>
      <c r="L210" s="3" t="s">
        <v>753</v>
      </c>
      <c r="M210" s="115">
        <v>45257</v>
      </c>
      <c r="V210" s="4">
        <v>12.1</v>
      </c>
      <c r="W210" s="4">
        <v>2.4060000000000001</v>
      </c>
      <c r="AD210" s="4" t="s">
        <v>277</v>
      </c>
      <c r="AF210" s="1" t="s">
        <v>712</v>
      </c>
      <c r="AG210" s="1" t="s">
        <v>706</v>
      </c>
      <c r="AL210" s="1" t="s">
        <v>708</v>
      </c>
      <c r="AM210" s="99">
        <v>45258</v>
      </c>
      <c r="AQ210" s="4">
        <v>16.251000000000001</v>
      </c>
      <c r="AR210" s="4" t="str">
        <f>IF(ISNA(MATCH($BA210,planas!$BA:$BA,0)),"ne","taip")</f>
        <v>ne</v>
      </c>
      <c r="BA210" s="1" t="s">
        <v>478</v>
      </c>
      <c r="BB210" s="1">
        <f>MOD(SUMPRODUCT(--($T$1:$T209&lt;&gt;$T$2:$T210)),2)</f>
        <v>0</v>
      </c>
    </row>
    <row r="211" spans="1:54" ht="14.4" hidden="1" x14ac:dyDescent="0.3">
      <c r="A211" s="1" t="s">
        <v>294</v>
      </c>
      <c r="B211" s="124" t="s">
        <v>330</v>
      </c>
      <c r="C211" s="1" t="s">
        <v>57</v>
      </c>
      <c r="D211" s="1">
        <v>4</v>
      </c>
      <c r="E211" s="2">
        <v>3280.0219999999999</v>
      </c>
      <c r="F211" s="2">
        <v>6170.0129999999999</v>
      </c>
      <c r="G211" s="2">
        <v>595</v>
      </c>
      <c r="H211" s="2">
        <v>7075.69</v>
      </c>
      <c r="J211" s="1">
        <v>9810</v>
      </c>
      <c r="L211" s="3" t="s">
        <v>348</v>
      </c>
      <c r="M211" s="115">
        <v>45243</v>
      </c>
      <c r="V211" s="4">
        <v>20.239999999999998</v>
      </c>
      <c r="W211" s="4">
        <v>2.8</v>
      </c>
      <c r="AD211" s="4" t="s">
        <v>584</v>
      </c>
      <c r="AF211" s="1" t="s">
        <v>706</v>
      </c>
      <c r="AG211" s="1" t="s">
        <v>713</v>
      </c>
      <c r="AL211" s="1" t="s">
        <v>708</v>
      </c>
      <c r="AM211" s="99">
        <v>45244</v>
      </c>
      <c r="AP211" s="2">
        <v>2</v>
      </c>
      <c r="AQ211" s="4">
        <v>33.588999999999999</v>
      </c>
      <c r="AR211" s="4" t="str">
        <f>IF(ISNA(MATCH($BA211,planas!$BA:$BA,0)),"ne","taip")</f>
        <v>ne</v>
      </c>
      <c r="BA211" s="1" t="s">
        <v>591</v>
      </c>
      <c r="BB211" s="1">
        <f>MOD(SUMPRODUCT(--($T$1:$T210&lt;&gt;$T$2:$T211)),2)</f>
        <v>0</v>
      </c>
    </row>
    <row r="212" spans="1:54" ht="14.4" hidden="1" x14ac:dyDescent="0.3">
      <c r="A212" s="1" t="s">
        <v>294</v>
      </c>
      <c r="B212" s="124" t="s">
        <v>204</v>
      </c>
      <c r="C212" s="1" t="s">
        <v>56</v>
      </c>
      <c r="D212" s="1">
        <v>4</v>
      </c>
      <c r="E212" s="2">
        <v>3130.0010000000002</v>
      </c>
      <c r="F212" s="2">
        <v>2302</v>
      </c>
      <c r="G212" s="2">
        <v>200.00200000000001</v>
      </c>
      <c r="H212" s="2">
        <v>3472.23</v>
      </c>
      <c r="J212" s="1">
        <v>13310</v>
      </c>
      <c r="L212" s="3" t="s">
        <v>278</v>
      </c>
      <c r="M212" s="115">
        <v>45264</v>
      </c>
      <c r="V212" s="4">
        <v>7.21</v>
      </c>
      <c r="W212" s="4">
        <v>1.417</v>
      </c>
      <c r="AD212" s="4" t="s">
        <v>277</v>
      </c>
      <c r="AF212" s="1" t="s">
        <v>710</v>
      </c>
      <c r="AG212" s="1" t="s">
        <v>712</v>
      </c>
      <c r="AL212" s="1" t="s">
        <v>708</v>
      </c>
      <c r="AM212" s="99">
        <v>45265</v>
      </c>
      <c r="AQ212" s="4">
        <v>13.683999999999999</v>
      </c>
      <c r="AR212" s="4" t="str">
        <f>IF(ISNA(MATCH($BA212,planas!$BA:$BA,0)),"ne","taip")</f>
        <v>ne</v>
      </c>
      <c r="BA212" s="1" t="s">
        <v>465</v>
      </c>
      <c r="BB212" s="1">
        <f>MOD(SUMPRODUCT(--($T$1:$T211&lt;&gt;$T$2:$T212)),2)</f>
        <v>0</v>
      </c>
    </row>
    <row r="213" spans="1:54" ht="14.4" hidden="1" x14ac:dyDescent="0.3">
      <c r="A213" s="1" t="s">
        <v>294</v>
      </c>
      <c r="B213" s="124" t="s">
        <v>338</v>
      </c>
      <c r="C213" s="1" t="s">
        <v>57</v>
      </c>
      <c r="D213" s="1">
        <v>2</v>
      </c>
      <c r="E213" s="2">
        <v>3130.0039999999999</v>
      </c>
      <c r="F213" s="2">
        <v>3405.0079999999998</v>
      </c>
      <c r="G213" s="2">
        <v>545.01300000000003</v>
      </c>
      <c r="H213" s="2">
        <v>6374.18</v>
      </c>
      <c r="J213" s="1">
        <v>7050</v>
      </c>
      <c r="L213" s="3" t="s">
        <v>348</v>
      </c>
      <c r="M213" s="115">
        <v>45219</v>
      </c>
      <c r="V213" s="4">
        <v>10.66</v>
      </c>
      <c r="W213" s="4">
        <v>2.5270000000000001</v>
      </c>
      <c r="AD213" s="4" t="s">
        <v>584</v>
      </c>
      <c r="AF213" s="1" t="s">
        <v>711</v>
      </c>
      <c r="AG213" s="1" t="s">
        <v>707</v>
      </c>
      <c r="AL213" s="1" t="s">
        <v>708</v>
      </c>
      <c r="AM213" s="99">
        <v>45222</v>
      </c>
      <c r="AQ213" s="4">
        <v>46.869</v>
      </c>
      <c r="AR213" s="4" t="str">
        <f>IF(ISNA(MATCH($BA213,planas!$BA:$BA,0)),"ne","taip")</f>
        <v>ne</v>
      </c>
      <c r="BA213" s="1" t="s">
        <v>385</v>
      </c>
      <c r="BB213" s="1">
        <f>MOD(SUMPRODUCT(--($T$1:$T212&lt;&gt;$T$2:$T213)),2)</f>
        <v>0</v>
      </c>
    </row>
    <row r="214" spans="1:54" ht="14.4" hidden="1" x14ac:dyDescent="0.3">
      <c r="A214" s="1" t="s">
        <v>294</v>
      </c>
      <c r="B214" s="124" t="s">
        <v>325</v>
      </c>
      <c r="C214" s="1" t="s">
        <v>57</v>
      </c>
      <c r="D214" s="1">
        <v>2</v>
      </c>
      <c r="E214" s="2">
        <v>3280.0070000000001</v>
      </c>
      <c r="F214" s="2">
        <v>6410.0150000000003</v>
      </c>
      <c r="G214" s="2">
        <v>595.00900000000001</v>
      </c>
      <c r="H214" s="2">
        <v>7864.83</v>
      </c>
      <c r="J214" s="1">
        <v>12050</v>
      </c>
      <c r="L214" s="3" t="s">
        <v>349</v>
      </c>
      <c r="M214" s="115">
        <v>45254</v>
      </c>
      <c r="V214" s="4">
        <v>21.02</v>
      </c>
      <c r="W214" s="4">
        <v>3.0609999999999999</v>
      </c>
      <c r="AD214" s="4" t="s">
        <v>584</v>
      </c>
      <c r="AF214" s="1" t="s">
        <v>712</v>
      </c>
      <c r="AG214" s="1" t="s">
        <v>706</v>
      </c>
      <c r="AL214" s="1" t="s">
        <v>708</v>
      </c>
      <c r="AM214" s="99">
        <v>45257</v>
      </c>
      <c r="AP214" s="2">
        <v>2</v>
      </c>
      <c r="AQ214" s="4">
        <v>33.289000000000001</v>
      </c>
      <c r="AR214" s="4" t="str">
        <f>IF(ISNA(MATCH($BA214,planas!$BA:$BA,0)),"ne","taip")</f>
        <v>ne</v>
      </c>
      <c r="BA214" s="1" t="s">
        <v>563</v>
      </c>
      <c r="BB214" s="1">
        <f>MOD(SUMPRODUCT(--($T$1:$T213&lt;&gt;$T$2:$T214)),2)</f>
        <v>0</v>
      </c>
    </row>
    <row r="215" spans="1:54" ht="14.4" hidden="1" x14ac:dyDescent="0.3">
      <c r="A215" s="1" t="s">
        <v>294</v>
      </c>
      <c r="B215" s="124" t="s">
        <v>204</v>
      </c>
      <c r="C215" s="1" t="s">
        <v>56</v>
      </c>
      <c r="D215" s="1">
        <v>4</v>
      </c>
      <c r="E215" s="2">
        <v>3130.0010000000002</v>
      </c>
      <c r="F215" s="2">
        <v>2302</v>
      </c>
      <c r="G215" s="2">
        <v>200.00200000000001</v>
      </c>
      <c r="H215" s="2">
        <v>3472.23</v>
      </c>
      <c r="J215" s="1">
        <v>9880</v>
      </c>
      <c r="L215" s="3" t="s">
        <v>278</v>
      </c>
      <c r="M215" s="115">
        <v>45243</v>
      </c>
      <c r="V215" s="4">
        <v>7.21</v>
      </c>
      <c r="W215" s="4">
        <v>1.417</v>
      </c>
      <c r="AD215" s="4" t="s">
        <v>277</v>
      </c>
      <c r="AF215" s="1" t="s">
        <v>706</v>
      </c>
      <c r="AG215" s="1" t="s">
        <v>713</v>
      </c>
      <c r="AL215" s="1" t="s">
        <v>708</v>
      </c>
      <c r="AM215" s="99">
        <v>45244</v>
      </c>
      <c r="AQ215" s="4">
        <v>13.683999999999999</v>
      </c>
      <c r="AR215" s="4" t="str">
        <f>IF(ISNA(MATCH($BA215,planas!$BA:$BA,0)),"ne","taip")</f>
        <v>ne</v>
      </c>
      <c r="BA215" s="1" t="s">
        <v>423</v>
      </c>
      <c r="BB215" s="1">
        <f>MOD(SUMPRODUCT(--($T$1:$T214&lt;&gt;$T$2:$T215)),2)</f>
        <v>0</v>
      </c>
    </row>
    <row r="216" spans="1:54" ht="14.4" hidden="1" x14ac:dyDescent="0.3">
      <c r="A216" s="1" t="s">
        <v>294</v>
      </c>
      <c r="B216" s="124" t="s">
        <v>332</v>
      </c>
      <c r="C216" s="1" t="s">
        <v>57</v>
      </c>
      <c r="D216" s="1">
        <v>2</v>
      </c>
      <c r="E216" s="2">
        <v>3280.0079999999998</v>
      </c>
      <c r="F216" s="2">
        <v>3094.971</v>
      </c>
      <c r="G216" s="2">
        <v>595</v>
      </c>
      <c r="H216" s="2">
        <v>4258.04</v>
      </c>
      <c r="J216" s="1">
        <v>10860</v>
      </c>
      <c r="L216" s="3" t="s">
        <v>349</v>
      </c>
      <c r="M216" s="115">
        <v>45247</v>
      </c>
      <c r="V216" s="4">
        <v>10.15</v>
      </c>
      <c r="W216" s="4">
        <v>1.679</v>
      </c>
      <c r="AD216" s="4" t="s">
        <v>584</v>
      </c>
      <c r="AF216" s="1" t="s">
        <v>712</v>
      </c>
      <c r="AG216" s="1" t="s">
        <v>711</v>
      </c>
      <c r="AL216" s="1" t="s">
        <v>708</v>
      </c>
      <c r="AM216" s="99">
        <v>45250</v>
      </c>
      <c r="AQ216" s="4">
        <v>25.236000000000001</v>
      </c>
      <c r="AR216" s="4" t="str">
        <f>IF(ISNA(MATCH($BA216,planas!$BA:$BA,0)),"ne","taip")</f>
        <v>ne</v>
      </c>
      <c r="BA216" s="1" t="s">
        <v>609</v>
      </c>
      <c r="BB216" s="1">
        <f>MOD(SUMPRODUCT(--($T$1:$T215&lt;&gt;$T$2:$T216)),2)</f>
        <v>0</v>
      </c>
    </row>
    <row r="217" spans="1:54" ht="14.4" hidden="1" x14ac:dyDescent="0.3">
      <c r="A217" s="1" t="s">
        <v>294</v>
      </c>
      <c r="B217" s="124" t="s">
        <v>138</v>
      </c>
      <c r="C217" s="1" t="s">
        <v>56</v>
      </c>
      <c r="D217" s="1">
        <v>4</v>
      </c>
      <c r="E217" s="2">
        <v>3130.0070000000001</v>
      </c>
      <c r="F217" s="2">
        <v>4230</v>
      </c>
      <c r="G217" s="2">
        <v>200.03700000000001</v>
      </c>
      <c r="H217" s="2">
        <v>5199.1400000000003</v>
      </c>
      <c r="J217" s="1">
        <v>12170</v>
      </c>
      <c r="L217" s="3" t="s">
        <v>753</v>
      </c>
      <c r="M217" s="115">
        <v>45257</v>
      </c>
      <c r="V217" s="4">
        <v>13.24</v>
      </c>
      <c r="W217" s="4">
        <v>2.113</v>
      </c>
      <c r="AD217" s="4" t="s">
        <v>277</v>
      </c>
      <c r="AF217" s="1" t="s">
        <v>712</v>
      </c>
      <c r="AG217" s="1" t="s">
        <v>706</v>
      </c>
      <c r="AL217" s="1" t="s">
        <v>708</v>
      </c>
      <c r="AM217" s="99">
        <v>45258</v>
      </c>
      <c r="AQ217" s="4">
        <v>33.323</v>
      </c>
      <c r="AR217" s="4" t="str">
        <f>IF(ISNA(MATCH($BA217,planas!$BA:$BA,0)),"ne","taip")</f>
        <v>ne</v>
      </c>
      <c r="BA217" s="1" t="s">
        <v>447</v>
      </c>
      <c r="BB217" s="1">
        <f>MOD(SUMPRODUCT(--($T$1:$T216&lt;&gt;$T$2:$T217)),2)</f>
        <v>0</v>
      </c>
    </row>
    <row r="218" spans="1:54" ht="14.4" hidden="1" x14ac:dyDescent="0.3">
      <c r="A218" s="1" t="s">
        <v>294</v>
      </c>
      <c r="B218" s="124" t="s">
        <v>297</v>
      </c>
      <c r="C218" s="1" t="s">
        <v>57</v>
      </c>
      <c r="D218" s="1">
        <v>1</v>
      </c>
      <c r="E218" s="2">
        <v>3270.0070000000001</v>
      </c>
      <c r="F218" s="2">
        <v>5135.018</v>
      </c>
      <c r="G218" s="2">
        <v>595</v>
      </c>
      <c r="H218" s="2">
        <v>6608.59</v>
      </c>
      <c r="J218" s="1">
        <v>8660</v>
      </c>
      <c r="L218" s="3" t="s">
        <v>349</v>
      </c>
      <c r="M218" s="115">
        <v>45236</v>
      </c>
      <c r="V218" s="4">
        <v>16.79</v>
      </c>
      <c r="W218" s="4">
        <v>2.6120000000000001</v>
      </c>
      <c r="AD218" s="4" t="s">
        <v>584</v>
      </c>
      <c r="AF218" s="1" t="s">
        <v>706</v>
      </c>
      <c r="AG218" s="1" t="s">
        <v>755</v>
      </c>
      <c r="AL218" s="1" t="s">
        <v>708</v>
      </c>
      <c r="AM218" s="99">
        <v>45237</v>
      </c>
      <c r="AP218" s="2">
        <v>1</v>
      </c>
      <c r="AQ218" s="4">
        <v>17.635999999999999</v>
      </c>
      <c r="AR218" s="4" t="str">
        <f>IF(ISNA(MATCH($BA218,planas!$BA:$BA,0)),"ne","taip")</f>
        <v>ne</v>
      </c>
      <c r="BA218" s="1" t="s">
        <v>542</v>
      </c>
      <c r="BB218" s="1">
        <f>MOD(SUMPRODUCT(--($T$1:$T217&lt;&gt;$T$2:$T218)),2)</f>
        <v>0</v>
      </c>
    </row>
    <row r="219" spans="1:54" ht="14.4" hidden="1" x14ac:dyDescent="0.3">
      <c r="A219" s="1" t="s">
        <v>294</v>
      </c>
      <c r="B219" s="124" t="s">
        <v>160</v>
      </c>
      <c r="C219" s="1" t="s">
        <v>56</v>
      </c>
      <c r="D219" s="1">
        <v>1</v>
      </c>
      <c r="E219" s="2">
        <v>3130</v>
      </c>
      <c r="F219" s="2">
        <v>3834.9989999999998</v>
      </c>
      <c r="G219" s="2">
        <v>200.023</v>
      </c>
      <c r="H219" s="2">
        <v>4733.68</v>
      </c>
      <c r="J219" s="1">
        <v>8890</v>
      </c>
      <c r="L219" s="3" t="s">
        <v>753</v>
      </c>
      <c r="M219" s="115">
        <v>45237</v>
      </c>
      <c r="V219" s="4">
        <v>12</v>
      </c>
      <c r="W219" s="4">
        <v>1.921</v>
      </c>
      <c r="AD219" s="4" t="s">
        <v>293</v>
      </c>
      <c r="AF219" s="1" t="s">
        <v>706</v>
      </c>
      <c r="AG219" s="1" t="s">
        <v>755</v>
      </c>
      <c r="AL219" s="1" t="s">
        <v>708</v>
      </c>
      <c r="AM219" s="99">
        <v>45238</v>
      </c>
      <c r="AP219" s="2">
        <v>1</v>
      </c>
      <c r="AQ219" s="4">
        <v>23.611999999999998</v>
      </c>
      <c r="AR219" s="4" t="str">
        <f>IF(ISNA(MATCH($BA219,planas!$BA:$BA,0)),"ne","taip")</f>
        <v>ne</v>
      </c>
      <c r="BA219" s="1" t="s">
        <v>537</v>
      </c>
      <c r="BB219" s="1">
        <f>MOD(SUMPRODUCT(--($T$1:$T218&lt;&gt;$T$2:$T219)),2)</f>
        <v>0</v>
      </c>
    </row>
    <row r="220" spans="1:54" ht="14.4" x14ac:dyDescent="0.3">
      <c r="A220" s="1" t="s">
        <v>294</v>
      </c>
      <c r="B220" s="124" t="s">
        <v>384</v>
      </c>
      <c r="C220" s="1" t="s">
        <v>57</v>
      </c>
      <c r="D220" s="1">
        <v>2</v>
      </c>
      <c r="E220" s="2">
        <v>3280.01</v>
      </c>
      <c r="F220" s="2">
        <v>4679.9870000000001</v>
      </c>
      <c r="G220" s="2">
        <v>595.01099999999997</v>
      </c>
      <c r="H220" s="2">
        <v>5558.11</v>
      </c>
      <c r="J220" s="1">
        <v>10840</v>
      </c>
      <c r="K220" s="3">
        <v>45149</v>
      </c>
      <c r="L220" s="3" t="s">
        <v>349</v>
      </c>
      <c r="M220" s="115">
        <v>45247</v>
      </c>
      <c r="T220" s="1">
        <v>5</v>
      </c>
      <c r="U220" s="113">
        <v>0.45596153846153847</v>
      </c>
      <c r="V220" s="4">
        <v>15.35</v>
      </c>
      <c r="W220" s="4">
        <v>2.1720000000000002</v>
      </c>
      <c r="AC220" s="1">
        <v>3</v>
      </c>
      <c r="AD220" s="4" t="s">
        <v>584</v>
      </c>
      <c r="AF220" s="1" t="s">
        <v>712</v>
      </c>
      <c r="AG220" s="1" t="s">
        <v>711</v>
      </c>
      <c r="AL220" s="1" t="s">
        <v>708</v>
      </c>
      <c r="AM220" s="99">
        <v>45250</v>
      </c>
      <c r="AP220" s="2">
        <v>1</v>
      </c>
      <c r="AQ220" s="4">
        <v>22.518999999999998</v>
      </c>
      <c r="AR220" s="4" t="str">
        <f>IF(ISNA(MATCH($BA220,planas!$BA:$BA,0)),"ne","taip")</f>
        <v>taip</v>
      </c>
      <c r="BA220" s="1" t="s">
        <v>573</v>
      </c>
      <c r="BB220" s="1">
        <f>MOD(SUMPRODUCT(--($T$1:$T219&lt;&gt;$T$2:$T220)),2)</f>
        <v>1</v>
      </c>
    </row>
    <row r="221" spans="1:54" ht="14.4" hidden="1" x14ac:dyDescent="0.3">
      <c r="A221" s="1" t="s">
        <v>294</v>
      </c>
      <c r="B221" s="124" t="s">
        <v>299</v>
      </c>
      <c r="C221" s="1" t="s">
        <v>57</v>
      </c>
      <c r="D221" s="1">
        <v>1</v>
      </c>
      <c r="E221" s="2">
        <v>3500.0010000000002</v>
      </c>
      <c r="F221" s="2">
        <v>6340.0060000000003</v>
      </c>
      <c r="G221" s="2">
        <v>595.02300000000002</v>
      </c>
      <c r="H221" s="2">
        <v>10127.799999999999</v>
      </c>
      <c r="J221" s="1">
        <v>9840</v>
      </c>
      <c r="L221" s="3" t="s">
        <v>349</v>
      </c>
      <c r="M221" s="115">
        <v>45243</v>
      </c>
      <c r="V221" s="4">
        <v>22.19</v>
      </c>
      <c r="W221" s="4">
        <v>4.0060000000000002</v>
      </c>
      <c r="AD221" s="4" t="s">
        <v>744</v>
      </c>
      <c r="AF221" s="1" t="s">
        <v>706</v>
      </c>
      <c r="AG221" s="1" t="s">
        <v>713</v>
      </c>
      <c r="AL221" s="1" t="s">
        <v>708</v>
      </c>
      <c r="AM221" s="99">
        <v>45244</v>
      </c>
      <c r="AQ221" s="4">
        <v>80.453000000000003</v>
      </c>
      <c r="AR221" s="4" t="str">
        <f>IF(ISNA(MATCH($BA221,planas!$BA:$BA,0)),"ne","taip")</f>
        <v>ne</v>
      </c>
      <c r="BA221" s="1" t="s">
        <v>579</v>
      </c>
      <c r="BB221" s="1">
        <f>MOD(SUMPRODUCT(--($T$1:$T220&lt;&gt;$T$2:$T221)),2)</f>
        <v>0</v>
      </c>
    </row>
    <row r="222" spans="1:54" ht="14.4" hidden="1" x14ac:dyDescent="0.3">
      <c r="A222" s="1" t="s">
        <v>294</v>
      </c>
      <c r="B222" s="124" t="s">
        <v>212</v>
      </c>
      <c r="C222" s="1" t="s">
        <v>56</v>
      </c>
      <c r="D222" s="1">
        <v>4</v>
      </c>
      <c r="E222" s="2">
        <v>3130</v>
      </c>
      <c r="F222" s="2">
        <v>1560</v>
      </c>
      <c r="G222" s="2">
        <v>200</v>
      </c>
      <c r="H222" s="2">
        <v>2369.6799999999998</v>
      </c>
      <c r="J222" s="1">
        <v>12330</v>
      </c>
      <c r="L222" s="3" t="s">
        <v>753</v>
      </c>
      <c r="M222" s="115">
        <v>45257</v>
      </c>
      <c r="V222" s="4">
        <v>4.88</v>
      </c>
      <c r="W222" s="4">
        <v>0.96899999999999997</v>
      </c>
      <c r="AD222" s="4" t="s">
        <v>277</v>
      </c>
      <c r="AF222" s="1" t="s">
        <v>712</v>
      </c>
      <c r="AG222" s="1" t="s">
        <v>706</v>
      </c>
      <c r="AL222" s="1" t="s">
        <v>708</v>
      </c>
      <c r="AM222" s="99">
        <v>45258</v>
      </c>
      <c r="AQ222" s="4">
        <v>5.7160000000000002</v>
      </c>
      <c r="AR222" s="4" t="str">
        <f>IF(ISNA(MATCH($BA222,planas!$BA:$BA,0)),"ne","taip")</f>
        <v>ne</v>
      </c>
      <c r="BA222" s="1" t="s">
        <v>469</v>
      </c>
      <c r="BB222" s="1">
        <f>MOD(SUMPRODUCT(--($T$1:$T221&lt;&gt;$T$2:$T222)),2)</f>
        <v>0</v>
      </c>
    </row>
    <row r="223" spans="1:54" ht="14.4" hidden="1" x14ac:dyDescent="0.3">
      <c r="A223" s="1" t="s">
        <v>294</v>
      </c>
      <c r="B223" s="124" t="s">
        <v>363</v>
      </c>
      <c r="C223" s="1" t="s">
        <v>56</v>
      </c>
      <c r="D223" s="1">
        <v>1</v>
      </c>
      <c r="E223" s="2">
        <v>1160</v>
      </c>
      <c r="F223" s="2">
        <v>4679.9160000000002</v>
      </c>
      <c r="G223" s="2">
        <v>140</v>
      </c>
      <c r="H223" s="2">
        <v>1874.55</v>
      </c>
      <c r="J223" s="1">
        <v>16140</v>
      </c>
      <c r="L223" s="3" t="s">
        <v>753</v>
      </c>
      <c r="M223" s="115">
        <v>45286</v>
      </c>
      <c r="V223" s="4">
        <v>5.43</v>
      </c>
      <c r="W223" s="4">
        <v>0.75700000000000001</v>
      </c>
      <c r="AD223" s="4" t="s">
        <v>359</v>
      </c>
      <c r="AF223" s="1" t="s">
        <v>710</v>
      </c>
      <c r="AG223" s="1" t="s">
        <v>709</v>
      </c>
      <c r="AL223" s="1" t="s">
        <v>708</v>
      </c>
      <c r="AM223" s="99">
        <v>45287</v>
      </c>
      <c r="AQ223" s="4">
        <v>16.149999999999999</v>
      </c>
      <c r="AR223" s="4" t="str">
        <f>IF(ISNA(MATCH($BA223,planas!$BA:$BA,0)),"ne","taip")</f>
        <v>ne</v>
      </c>
      <c r="BA223" s="1" t="s">
        <v>681</v>
      </c>
      <c r="BB223" s="1">
        <f>MOD(SUMPRODUCT(--($T$1:$T222&lt;&gt;$T$2:$T223)),2)</f>
        <v>0</v>
      </c>
    </row>
    <row r="224" spans="1:54" ht="14.4" hidden="1" x14ac:dyDescent="0.3">
      <c r="A224" s="1" t="s">
        <v>294</v>
      </c>
      <c r="B224" s="124" t="s">
        <v>512</v>
      </c>
      <c r="C224" s="1" t="s">
        <v>57</v>
      </c>
      <c r="D224" s="1">
        <v>1</v>
      </c>
      <c r="E224" s="2">
        <v>3270.002</v>
      </c>
      <c r="F224" s="2">
        <v>6050.0320000000002</v>
      </c>
      <c r="G224" s="2">
        <v>595</v>
      </c>
      <c r="H224" s="2">
        <v>8010.89</v>
      </c>
      <c r="J224" s="1">
        <v>8710</v>
      </c>
      <c r="L224" s="3" t="s">
        <v>348</v>
      </c>
      <c r="M224" s="115">
        <v>45236</v>
      </c>
      <c r="V224" s="4">
        <v>19.78</v>
      </c>
      <c r="W224" s="4">
        <v>3.153</v>
      </c>
      <c r="AD224" s="4" t="s">
        <v>584</v>
      </c>
      <c r="AF224" s="1" t="s">
        <v>706</v>
      </c>
      <c r="AG224" s="1" t="s">
        <v>755</v>
      </c>
      <c r="AL224" s="1" t="s">
        <v>708</v>
      </c>
      <c r="AM224" s="99">
        <v>45237</v>
      </c>
      <c r="AP224" s="2">
        <v>3</v>
      </c>
      <c r="AQ224" s="4">
        <v>57.893000000000001</v>
      </c>
      <c r="AR224" s="4" t="str">
        <f>IF(ISNA(MATCH($BA224,planas!$BA:$BA,0)),"ne","taip")</f>
        <v>ne</v>
      </c>
      <c r="BA224" s="1" t="s">
        <v>511</v>
      </c>
      <c r="BB224" s="1">
        <f>MOD(SUMPRODUCT(--($T$1:$T223&lt;&gt;$T$2:$T224)),2)</f>
        <v>0</v>
      </c>
    </row>
    <row r="225" spans="1:54" ht="14.4" hidden="1" x14ac:dyDescent="0.3">
      <c r="A225" s="1" t="s">
        <v>294</v>
      </c>
      <c r="B225" s="124" t="s">
        <v>231</v>
      </c>
      <c r="C225" s="1" t="s">
        <v>56</v>
      </c>
      <c r="D225" s="1">
        <v>4</v>
      </c>
      <c r="E225" s="2">
        <v>2920.0070000000001</v>
      </c>
      <c r="F225" s="2">
        <v>5331</v>
      </c>
      <c r="G225" s="2">
        <v>200.00399999999999</v>
      </c>
      <c r="H225" s="2">
        <v>7584.72</v>
      </c>
      <c r="J225" s="1">
        <v>13230</v>
      </c>
      <c r="L225" s="3" t="s">
        <v>278</v>
      </c>
      <c r="M225" s="115">
        <v>45261</v>
      </c>
      <c r="V225" s="4">
        <v>15.57</v>
      </c>
      <c r="W225" s="4">
        <v>3.1040000000000001</v>
      </c>
      <c r="AD225" s="4" t="s">
        <v>277</v>
      </c>
      <c r="AF225" s="1" t="s">
        <v>710</v>
      </c>
      <c r="AG225" s="1" t="s">
        <v>712</v>
      </c>
      <c r="AL225" s="1" t="s">
        <v>708</v>
      </c>
      <c r="AM225" s="99">
        <v>45264</v>
      </c>
      <c r="AQ225" s="4">
        <v>19.393999999999998</v>
      </c>
      <c r="AR225" s="4" t="str">
        <f>IF(ISNA(MATCH($BA225,planas!$BA:$BA,0)),"ne","taip")</f>
        <v>ne</v>
      </c>
      <c r="BA225" s="1" t="s">
        <v>482</v>
      </c>
      <c r="BB225" s="1">
        <f>MOD(SUMPRODUCT(--($T$1:$T224&lt;&gt;$T$2:$T225)),2)</f>
        <v>0</v>
      </c>
    </row>
    <row r="226" spans="1:54" ht="14.4" hidden="1" x14ac:dyDescent="0.3">
      <c r="A226" s="1" t="s">
        <v>294</v>
      </c>
      <c r="B226" s="124" t="s">
        <v>321</v>
      </c>
      <c r="C226" s="1" t="s">
        <v>57</v>
      </c>
      <c r="D226" s="1">
        <v>2</v>
      </c>
      <c r="E226" s="2">
        <v>3130.011</v>
      </c>
      <c r="F226" s="2">
        <v>8430.0010000000002</v>
      </c>
      <c r="G226" s="2">
        <v>595.00199999999995</v>
      </c>
      <c r="H226" s="2">
        <v>9988.68</v>
      </c>
      <c r="J226" s="1">
        <v>15420</v>
      </c>
      <c r="L226" s="3" t="s">
        <v>349</v>
      </c>
      <c r="M226" s="115">
        <v>45275</v>
      </c>
      <c r="V226" s="4">
        <v>26.39</v>
      </c>
      <c r="W226" s="4">
        <v>3.9359999999999999</v>
      </c>
      <c r="AD226" s="4" t="s">
        <v>584</v>
      </c>
      <c r="AF226" s="1" t="s">
        <v>710</v>
      </c>
      <c r="AG226" s="1" t="s">
        <v>707</v>
      </c>
      <c r="AL226" s="1" t="s">
        <v>280</v>
      </c>
      <c r="AM226" s="99">
        <v>45278</v>
      </c>
      <c r="AP226" s="2">
        <v>2</v>
      </c>
      <c r="AQ226" s="4">
        <v>87.253</v>
      </c>
      <c r="AR226" s="4" t="str">
        <f>IF(ISNA(MATCH($BA226,planas!$BA:$BA,0)),"ne","taip")</f>
        <v>ne</v>
      </c>
      <c r="BA226" s="1" t="s">
        <v>657</v>
      </c>
      <c r="BB226" s="1">
        <f>MOD(SUMPRODUCT(--($T$1:$T225&lt;&gt;$T$2:$T226)),2)</f>
        <v>0</v>
      </c>
    </row>
    <row r="227" spans="1:54" ht="14.4" hidden="1" x14ac:dyDescent="0.3">
      <c r="A227" s="1" t="s">
        <v>294</v>
      </c>
      <c r="B227" s="124" t="s">
        <v>137</v>
      </c>
      <c r="C227" s="1" t="s">
        <v>56</v>
      </c>
      <c r="D227" s="1">
        <v>2</v>
      </c>
      <c r="E227" s="2">
        <v>3630</v>
      </c>
      <c r="F227" s="2">
        <v>1560</v>
      </c>
      <c r="G227" s="2">
        <v>200</v>
      </c>
      <c r="H227" s="2">
        <v>2771.74</v>
      </c>
      <c r="J227" s="1">
        <v>14590</v>
      </c>
      <c r="L227" s="3" t="s">
        <v>753</v>
      </c>
      <c r="M227" s="115">
        <v>45271</v>
      </c>
      <c r="V227" s="4">
        <v>5.66</v>
      </c>
      <c r="W227" s="4">
        <v>1.1240000000000001</v>
      </c>
      <c r="AD227" s="4" t="s">
        <v>277</v>
      </c>
      <c r="AF227" s="1" t="s">
        <v>710</v>
      </c>
      <c r="AG227" s="1" t="s">
        <v>710</v>
      </c>
      <c r="AL227" s="1" t="s">
        <v>765</v>
      </c>
      <c r="AM227" s="99">
        <v>45272</v>
      </c>
      <c r="AQ227" s="4">
        <v>23.03</v>
      </c>
      <c r="AR227" s="4" t="str">
        <f>IF(ISNA(MATCH($BA227,planas!$BA:$BA,0)),"ne","taip")</f>
        <v>ne</v>
      </c>
      <c r="BA227" s="1" t="s">
        <v>495</v>
      </c>
      <c r="BB227" s="1">
        <f>MOD(SUMPRODUCT(--($T$1:$T226&lt;&gt;$T$2:$T227)),2)</f>
        <v>0</v>
      </c>
    </row>
    <row r="228" spans="1:54" ht="14.4" hidden="1" x14ac:dyDescent="0.3">
      <c r="A228" s="1" t="s">
        <v>294</v>
      </c>
      <c r="B228" s="124" t="s">
        <v>535</v>
      </c>
      <c r="C228" s="1" t="s">
        <v>57</v>
      </c>
      <c r="D228" s="1">
        <v>1</v>
      </c>
      <c r="E228" s="2">
        <v>3270.009</v>
      </c>
      <c r="F228" s="2">
        <v>5150.0439999999999</v>
      </c>
      <c r="G228" s="2">
        <v>595.00199999999995</v>
      </c>
      <c r="H228" s="2">
        <v>7020.92</v>
      </c>
      <c r="J228" s="1">
        <v>8600</v>
      </c>
      <c r="L228" s="3" t="s">
        <v>349</v>
      </c>
      <c r="M228" s="115">
        <v>45233</v>
      </c>
      <c r="V228" s="4">
        <v>16.84</v>
      </c>
      <c r="W228" s="4">
        <v>2.7130000000000001</v>
      </c>
      <c r="AD228" s="4" t="s">
        <v>744</v>
      </c>
      <c r="AF228" s="1" t="s">
        <v>706</v>
      </c>
      <c r="AG228" s="1" t="s">
        <v>755</v>
      </c>
      <c r="AL228" s="1" t="s">
        <v>708</v>
      </c>
      <c r="AM228" s="99">
        <v>45236</v>
      </c>
      <c r="AP228" s="2">
        <v>2</v>
      </c>
      <c r="AQ228" s="4">
        <v>33.127000000000002</v>
      </c>
      <c r="AR228" s="4" t="str">
        <f>IF(ISNA(MATCH($BA228,planas!$BA:$BA,0)),"ne","taip")</f>
        <v>ne</v>
      </c>
      <c r="BA228" s="1" t="s">
        <v>534</v>
      </c>
      <c r="BB228" s="1">
        <f>MOD(SUMPRODUCT(--($T$1:$T227&lt;&gt;$T$2:$T228)),2)</f>
        <v>0</v>
      </c>
    </row>
    <row r="229" spans="1:54" ht="14.4" x14ac:dyDescent="0.3">
      <c r="A229" s="1" t="s">
        <v>294</v>
      </c>
      <c r="B229" s="124" t="s">
        <v>197</v>
      </c>
      <c r="C229" s="1" t="s">
        <v>56</v>
      </c>
      <c r="D229" s="1">
        <v>1</v>
      </c>
      <c r="E229" s="2">
        <v>3420.0070000000001</v>
      </c>
      <c r="F229" s="2">
        <v>3430</v>
      </c>
      <c r="G229" s="2">
        <v>200.006</v>
      </c>
      <c r="H229" s="2">
        <v>5703.15</v>
      </c>
      <c r="J229" s="1">
        <v>6180</v>
      </c>
      <c r="K229" s="3">
        <v>45159</v>
      </c>
      <c r="L229" s="3" t="s">
        <v>753</v>
      </c>
      <c r="M229" s="115">
        <v>45215</v>
      </c>
      <c r="T229" s="1">
        <v>6</v>
      </c>
      <c r="U229" s="113">
        <v>0.22557692307692309</v>
      </c>
      <c r="V229" s="4">
        <v>11.73</v>
      </c>
      <c r="W229" s="4">
        <v>2.33</v>
      </c>
      <c r="AC229" s="1">
        <v>3</v>
      </c>
      <c r="AD229" s="4" t="s">
        <v>277</v>
      </c>
      <c r="AF229" s="1" t="s">
        <v>711</v>
      </c>
      <c r="AG229" s="1" t="s">
        <v>710</v>
      </c>
      <c r="AL229" s="1" t="s">
        <v>708</v>
      </c>
      <c r="AM229" s="99">
        <v>45216</v>
      </c>
      <c r="AQ229" s="4">
        <v>15.66</v>
      </c>
      <c r="AR229" s="4" t="str">
        <f>IF(ISNA(MATCH($BA229,planas!$BA:$BA,0)),"ne","taip")</f>
        <v>ne</v>
      </c>
      <c r="BA229" s="1" t="s">
        <v>769</v>
      </c>
      <c r="BB229" s="1">
        <f>MOD(SUMPRODUCT(--($T$1:$T228&lt;&gt;$T$2:$T229)),2)</f>
        <v>1</v>
      </c>
    </row>
    <row r="230" spans="1:54" ht="14.4" hidden="1" x14ac:dyDescent="0.3">
      <c r="A230" s="1" t="s">
        <v>294</v>
      </c>
      <c r="B230" s="124" t="s">
        <v>144</v>
      </c>
      <c r="C230" s="1" t="s">
        <v>56</v>
      </c>
      <c r="D230" s="1">
        <v>2</v>
      </c>
      <c r="E230" s="2">
        <v>3420.0059999999999</v>
      </c>
      <c r="F230" s="2">
        <v>1781</v>
      </c>
      <c r="G230" s="2">
        <v>200.00399999999999</v>
      </c>
      <c r="H230" s="2">
        <v>2963.06</v>
      </c>
      <c r="J230" s="1">
        <v>14460</v>
      </c>
      <c r="L230" s="3" t="s">
        <v>278</v>
      </c>
      <c r="M230" s="115">
        <v>45271</v>
      </c>
      <c r="V230" s="4">
        <v>6.09</v>
      </c>
      <c r="W230" s="4">
        <v>1.2090000000000001</v>
      </c>
      <c r="AD230" s="4" t="s">
        <v>277</v>
      </c>
      <c r="AF230" s="1" t="s">
        <v>710</v>
      </c>
      <c r="AG230" s="1" t="s">
        <v>710</v>
      </c>
      <c r="AL230" s="1" t="s">
        <v>708</v>
      </c>
      <c r="AM230" s="99">
        <v>45272</v>
      </c>
      <c r="AQ230" s="4">
        <v>5.9859999999999998</v>
      </c>
      <c r="AR230" s="4" t="str">
        <f>IF(ISNA(MATCH($BA230,planas!$BA:$BA,0)),"ne","taip")</f>
        <v>ne</v>
      </c>
      <c r="BA230" s="1" t="s">
        <v>494</v>
      </c>
      <c r="BB230" s="1">
        <f>MOD(SUMPRODUCT(--($T$1:$T229&lt;&gt;$T$2:$T230)),2)</f>
        <v>0</v>
      </c>
    </row>
    <row r="231" spans="1:54" ht="14.4" hidden="1" x14ac:dyDescent="0.3">
      <c r="A231" s="1" t="s">
        <v>294</v>
      </c>
      <c r="B231" s="124" t="s">
        <v>283</v>
      </c>
      <c r="C231" s="1" t="s">
        <v>56</v>
      </c>
      <c r="D231" s="1">
        <v>1</v>
      </c>
      <c r="E231" s="2">
        <v>1160</v>
      </c>
      <c r="F231" s="2">
        <v>4760.05</v>
      </c>
      <c r="G231" s="2">
        <v>140</v>
      </c>
      <c r="H231" s="2">
        <v>1906.71</v>
      </c>
      <c r="J231" s="1">
        <v>16150</v>
      </c>
      <c r="L231" s="3" t="s">
        <v>753</v>
      </c>
      <c r="M231" s="115">
        <v>45287</v>
      </c>
      <c r="V231" s="4">
        <v>5.52</v>
      </c>
      <c r="W231" s="4">
        <v>0.77</v>
      </c>
      <c r="AD231" s="4" t="s">
        <v>359</v>
      </c>
      <c r="AF231" s="1" t="s">
        <v>710</v>
      </c>
      <c r="AG231" s="1" t="s">
        <v>709</v>
      </c>
      <c r="AL231" s="1" t="s">
        <v>708</v>
      </c>
      <c r="AM231" s="99">
        <v>45287</v>
      </c>
      <c r="AQ231" s="4">
        <v>16.309999999999999</v>
      </c>
      <c r="AR231" s="4" t="str">
        <f>IF(ISNA(MATCH($BA231,planas!$BA:$BA,0)),"ne","taip")</f>
        <v>ne</v>
      </c>
      <c r="BA231" s="1" t="s">
        <v>680</v>
      </c>
      <c r="BB231" s="1">
        <f>MOD(SUMPRODUCT(--($T$1:$T230&lt;&gt;$T$2:$T231)),2)</f>
        <v>0</v>
      </c>
    </row>
    <row r="232" spans="1:54" ht="14.4" hidden="1" x14ac:dyDescent="0.3">
      <c r="A232" s="1" t="s">
        <v>294</v>
      </c>
      <c r="B232" s="124" t="s">
        <v>317</v>
      </c>
      <c r="C232" s="1" t="s">
        <v>57</v>
      </c>
      <c r="D232" s="1">
        <v>1</v>
      </c>
      <c r="E232" s="2">
        <v>3280.0070000000001</v>
      </c>
      <c r="F232" s="2">
        <v>8090.0020000000004</v>
      </c>
      <c r="G232" s="2">
        <v>595</v>
      </c>
      <c r="H232" s="2">
        <v>8595.11</v>
      </c>
      <c r="J232" s="1">
        <v>9690</v>
      </c>
      <c r="L232" s="3" t="s">
        <v>349</v>
      </c>
      <c r="M232" s="115">
        <v>45243</v>
      </c>
      <c r="V232" s="4">
        <v>26.54</v>
      </c>
      <c r="W232" s="4">
        <v>3.3519999999999999</v>
      </c>
      <c r="AD232" s="4" t="s">
        <v>744</v>
      </c>
      <c r="AF232" s="1" t="s">
        <v>706</v>
      </c>
      <c r="AG232" s="1" t="s">
        <v>713</v>
      </c>
      <c r="AL232" s="1" t="s">
        <v>280</v>
      </c>
      <c r="AM232" s="99">
        <v>45244</v>
      </c>
      <c r="AP232" s="2">
        <v>5</v>
      </c>
      <c r="AQ232" s="4">
        <v>49.021999999999998</v>
      </c>
      <c r="AR232" s="4" t="str">
        <f>IF(ISNA(MATCH($BA232,planas!$BA:$BA,0)),"ne","taip")</f>
        <v>ne</v>
      </c>
      <c r="BA232" s="1" t="s">
        <v>572</v>
      </c>
      <c r="BB232" s="1">
        <f>MOD(SUMPRODUCT(--($T$1:$T231&lt;&gt;$T$2:$T232)),2)</f>
        <v>0</v>
      </c>
    </row>
    <row r="233" spans="1:54" ht="14.4" hidden="1" x14ac:dyDescent="0.3">
      <c r="A233" s="1" t="s">
        <v>294</v>
      </c>
      <c r="B233" s="124" t="s">
        <v>321</v>
      </c>
      <c r="C233" s="1" t="s">
        <v>57</v>
      </c>
      <c r="D233" s="1">
        <v>2</v>
      </c>
      <c r="E233" s="2">
        <v>3130.011</v>
      </c>
      <c r="F233" s="2">
        <v>8430.0010000000002</v>
      </c>
      <c r="G233" s="2">
        <v>595.00199999999995</v>
      </c>
      <c r="H233" s="2">
        <v>9988.68</v>
      </c>
      <c r="J233" s="1">
        <v>7090</v>
      </c>
      <c r="L233" s="3" t="s">
        <v>349</v>
      </c>
      <c r="M233" s="115">
        <v>45219</v>
      </c>
      <c r="V233" s="4">
        <v>26.39</v>
      </c>
      <c r="W233" s="4">
        <v>3.9359999999999999</v>
      </c>
      <c r="AD233" s="4" t="s">
        <v>584</v>
      </c>
      <c r="AF233" s="1" t="s">
        <v>711</v>
      </c>
      <c r="AG233" s="1" t="s">
        <v>707</v>
      </c>
      <c r="AL233" s="1" t="s">
        <v>280</v>
      </c>
      <c r="AM233" s="99">
        <v>45222</v>
      </c>
      <c r="AP233" s="2">
        <v>2</v>
      </c>
      <c r="AQ233" s="4">
        <v>87.253</v>
      </c>
      <c r="AR233" s="4" t="str">
        <f>IF(ISNA(MATCH($BA233,planas!$BA:$BA,0)),"ne","taip")</f>
        <v>ne</v>
      </c>
      <c r="BA233" s="1" t="s">
        <v>364</v>
      </c>
      <c r="BB233" s="1">
        <f>MOD(SUMPRODUCT(--($T$1:$T232&lt;&gt;$T$2:$T233)),2)</f>
        <v>0</v>
      </c>
    </row>
    <row r="234" spans="1:54" ht="14.4" hidden="1" x14ac:dyDescent="0.3">
      <c r="A234" s="1" t="s">
        <v>294</v>
      </c>
      <c r="B234" s="124" t="s">
        <v>156</v>
      </c>
      <c r="C234" s="1" t="s">
        <v>56</v>
      </c>
      <c r="D234" s="1">
        <v>1</v>
      </c>
      <c r="E234" s="2">
        <v>3120.0070000000001</v>
      </c>
      <c r="F234" s="2">
        <v>4080</v>
      </c>
      <c r="G234" s="2">
        <v>200.03700000000001</v>
      </c>
      <c r="H234" s="2">
        <v>5004.28</v>
      </c>
      <c r="J234" s="1">
        <v>8870</v>
      </c>
      <c r="L234" s="3" t="s">
        <v>753</v>
      </c>
      <c r="M234" s="115">
        <v>45237</v>
      </c>
      <c r="V234" s="4">
        <v>12.73</v>
      </c>
      <c r="W234" s="4">
        <v>2.016</v>
      </c>
      <c r="AD234" s="4" t="s">
        <v>293</v>
      </c>
      <c r="AF234" s="1" t="s">
        <v>706</v>
      </c>
      <c r="AG234" s="1" t="s">
        <v>755</v>
      </c>
      <c r="AL234" s="1" t="s">
        <v>708</v>
      </c>
      <c r="AM234" s="99">
        <v>45238</v>
      </c>
      <c r="AP234" s="2">
        <v>1</v>
      </c>
      <c r="AQ234" s="4">
        <v>34.741</v>
      </c>
      <c r="AR234" s="4" t="str">
        <f>IF(ISNA(MATCH($BA234,planas!$BA:$BA,0)),"ne","taip")</f>
        <v>ne</v>
      </c>
      <c r="BA234" s="1" t="s">
        <v>526</v>
      </c>
      <c r="BB234" s="1">
        <f>MOD(SUMPRODUCT(--($T$1:$T233&lt;&gt;$T$2:$T234)),2)</f>
        <v>0</v>
      </c>
    </row>
    <row r="235" spans="1:54" ht="14.4" hidden="1" x14ac:dyDescent="0.3">
      <c r="A235" s="1" t="s">
        <v>294</v>
      </c>
      <c r="B235" s="124" t="s">
        <v>335</v>
      </c>
      <c r="C235" s="1" t="s">
        <v>57</v>
      </c>
      <c r="D235" s="1">
        <v>1</v>
      </c>
      <c r="E235" s="2">
        <v>3780.009</v>
      </c>
      <c r="F235" s="2">
        <v>7180.0469999999996</v>
      </c>
      <c r="G235" s="2">
        <v>595.03099999999995</v>
      </c>
      <c r="H235" s="2">
        <v>10889.05</v>
      </c>
      <c r="J235" s="1">
        <v>14250</v>
      </c>
      <c r="L235" s="3" t="s">
        <v>348</v>
      </c>
      <c r="M235" s="115">
        <v>45268</v>
      </c>
      <c r="V235" s="4">
        <v>27.14</v>
      </c>
      <c r="W235" s="4">
        <v>4.2130000000000001</v>
      </c>
      <c r="AD235" s="4" t="s">
        <v>584</v>
      </c>
      <c r="AF235" s="1" t="s">
        <v>710</v>
      </c>
      <c r="AG235" s="1" t="s">
        <v>710</v>
      </c>
      <c r="AL235" s="1" t="s">
        <v>708</v>
      </c>
      <c r="AM235" s="99">
        <v>45271</v>
      </c>
      <c r="AP235" s="2">
        <v>2</v>
      </c>
      <c r="AQ235" s="4">
        <v>46.427</v>
      </c>
      <c r="AR235" s="4" t="str">
        <f>IF(ISNA(MATCH($BA235,planas!$BA:$BA,0)),"ne","taip")</f>
        <v>ne</v>
      </c>
      <c r="BA235" s="1" t="s">
        <v>624</v>
      </c>
      <c r="BB235" s="1">
        <f>MOD(SUMPRODUCT(--($T$1:$T234&lt;&gt;$T$2:$T235)),2)</f>
        <v>0</v>
      </c>
    </row>
    <row r="236" spans="1:54" ht="14.4" hidden="1" x14ac:dyDescent="0.3">
      <c r="A236" s="1" t="s">
        <v>294</v>
      </c>
      <c r="B236" s="124" t="s">
        <v>342</v>
      </c>
      <c r="C236" s="1" t="s">
        <v>57</v>
      </c>
      <c r="D236" s="1">
        <v>2</v>
      </c>
      <c r="E236" s="2">
        <v>3130.0070000000001</v>
      </c>
      <c r="F236" s="2">
        <v>5150.0349999999999</v>
      </c>
      <c r="G236" s="2">
        <v>595.00099999999998</v>
      </c>
      <c r="H236" s="2">
        <v>6964.7</v>
      </c>
      <c r="J236" s="1">
        <v>15330</v>
      </c>
      <c r="L236" s="3" t="s">
        <v>349</v>
      </c>
      <c r="M236" s="115">
        <v>45275</v>
      </c>
      <c r="V236" s="4">
        <v>16.12</v>
      </c>
      <c r="W236" s="4">
        <v>2.7309999999999999</v>
      </c>
      <c r="AD236" s="4" t="s">
        <v>584</v>
      </c>
      <c r="AF236" s="1" t="s">
        <v>710</v>
      </c>
      <c r="AG236" s="1" t="s">
        <v>707</v>
      </c>
      <c r="AL236" s="1" t="s">
        <v>708</v>
      </c>
      <c r="AM236" s="99">
        <v>45278</v>
      </c>
      <c r="AP236" s="2">
        <v>1</v>
      </c>
      <c r="AQ236" s="4">
        <v>68.638000000000005</v>
      </c>
      <c r="AR236" s="4" t="str">
        <f>IF(ISNA(MATCH($BA236,planas!$BA:$BA,0)),"ne","taip")</f>
        <v>ne</v>
      </c>
      <c r="BA236" s="1" t="s">
        <v>658</v>
      </c>
      <c r="BB236" s="1">
        <f>MOD(SUMPRODUCT(--($T$1:$T235&lt;&gt;$T$2:$T236)),2)</f>
        <v>0</v>
      </c>
    </row>
    <row r="237" spans="1:54" ht="14.4" hidden="1" x14ac:dyDescent="0.3">
      <c r="A237" s="1" t="s">
        <v>294</v>
      </c>
      <c r="B237" s="124" t="s">
        <v>224</v>
      </c>
      <c r="C237" s="1" t="s">
        <v>56</v>
      </c>
      <c r="D237" s="1">
        <v>4</v>
      </c>
      <c r="E237" s="2">
        <v>2920.0070000000001</v>
      </c>
      <c r="F237" s="2">
        <v>3845</v>
      </c>
      <c r="G237" s="2">
        <v>200.00299999999999</v>
      </c>
      <c r="H237" s="2">
        <v>5406.34</v>
      </c>
      <c r="J237" s="1">
        <v>12240</v>
      </c>
      <c r="L237" s="3" t="s">
        <v>753</v>
      </c>
      <c r="M237" s="115">
        <v>45257</v>
      </c>
      <c r="V237" s="4">
        <v>11.23</v>
      </c>
      <c r="W237" s="4">
        <v>2.202</v>
      </c>
      <c r="AD237" s="4" t="s">
        <v>277</v>
      </c>
      <c r="AF237" s="1" t="s">
        <v>712</v>
      </c>
      <c r="AG237" s="1" t="s">
        <v>706</v>
      </c>
      <c r="AL237" s="1" t="s">
        <v>708</v>
      </c>
      <c r="AM237" s="99">
        <v>45258</v>
      </c>
      <c r="AQ237" s="4">
        <v>30.431000000000001</v>
      </c>
      <c r="AR237" s="4" t="str">
        <f>IF(ISNA(MATCH($BA237,planas!$BA:$BA,0)),"ne","taip")</f>
        <v>ne</v>
      </c>
      <c r="BA237" s="1" t="s">
        <v>396</v>
      </c>
      <c r="BB237" s="1">
        <f>MOD(SUMPRODUCT(--($T$1:$T236&lt;&gt;$T$2:$T237)),2)</f>
        <v>0</v>
      </c>
    </row>
    <row r="238" spans="1:54" ht="14.4" hidden="1" x14ac:dyDescent="0.3">
      <c r="A238" s="1" t="s">
        <v>294</v>
      </c>
      <c r="B238" s="124" t="s">
        <v>336</v>
      </c>
      <c r="C238" s="1" t="s">
        <v>57</v>
      </c>
      <c r="D238" s="1">
        <v>2</v>
      </c>
      <c r="E238" s="2">
        <v>3130.0120000000002</v>
      </c>
      <c r="F238" s="2">
        <v>4679.9210000000003</v>
      </c>
      <c r="G238" s="2">
        <v>595.01099999999997</v>
      </c>
      <c r="H238" s="2">
        <v>5630.66</v>
      </c>
      <c r="J238" s="1">
        <v>7120</v>
      </c>
      <c r="L238" s="3" t="s">
        <v>349</v>
      </c>
      <c r="M238" s="115">
        <v>45219</v>
      </c>
      <c r="V238" s="4">
        <v>14.65</v>
      </c>
      <c r="W238" s="4">
        <v>2.222</v>
      </c>
      <c r="AD238" s="4" t="s">
        <v>584</v>
      </c>
      <c r="AF238" s="1" t="s">
        <v>711</v>
      </c>
      <c r="AG238" s="1" t="s">
        <v>707</v>
      </c>
      <c r="AL238" s="1" t="s">
        <v>708</v>
      </c>
      <c r="AM238" s="99">
        <v>45222</v>
      </c>
      <c r="AP238" s="2">
        <v>1</v>
      </c>
      <c r="AQ238" s="4">
        <v>30.79</v>
      </c>
      <c r="AR238" s="4" t="str">
        <f>IF(ISNA(MATCH($BA238,planas!$BA:$BA,0)),"ne","taip")</f>
        <v>ne</v>
      </c>
      <c r="BA238" s="1" t="s">
        <v>362</v>
      </c>
      <c r="BB238" s="1">
        <f>MOD(SUMPRODUCT(--($T$1:$T237&lt;&gt;$T$2:$T238)),2)</f>
        <v>0</v>
      </c>
    </row>
    <row r="239" spans="1:54" ht="14.4" hidden="1" x14ac:dyDescent="0.3">
      <c r="A239" s="1" t="s">
        <v>294</v>
      </c>
      <c r="B239" s="124" t="s">
        <v>201</v>
      </c>
      <c r="C239" s="1" t="s">
        <v>56</v>
      </c>
      <c r="D239" s="1">
        <v>1</v>
      </c>
      <c r="E239" s="2">
        <v>2910.0070000000001</v>
      </c>
      <c r="F239" s="2">
        <v>2460</v>
      </c>
      <c r="G239" s="2">
        <v>200.00200000000001</v>
      </c>
      <c r="H239" s="2">
        <v>3379.41</v>
      </c>
      <c r="J239" s="1">
        <v>8860</v>
      </c>
      <c r="L239" s="3" t="s">
        <v>753</v>
      </c>
      <c r="M239" s="115">
        <v>45237</v>
      </c>
      <c r="V239" s="4">
        <v>7.16</v>
      </c>
      <c r="W239" s="4">
        <v>1.37</v>
      </c>
      <c r="AD239" s="4" t="s">
        <v>277</v>
      </c>
      <c r="AF239" s="1" t="s">
        <v>706</v>
      </c>
      <c r="AG239" s="1" t="s">
        <v>755</v>
      </c>
      <c r="AL239" s="1" t="s">
        <v>708</v>
      </c>
      <c r="AM239" s="99">
        <v>45238</v>
      </c>
      <c r="AQ239" s="4">
        <v>33.258000000000003</v>
      </c>
      <c r="AR239" s="4" t="str">
        <f>IF(ISNA(MATCH($BA239,planas!$BA:$BA,0)),"ne","taip")</f>
        <v>ne</v>
      </c>
      <c r="BA239" s="1" t="s">
        <v>536</v>
      </c>
      <c r="BB239" s="1">
        <f>MOD(SUMPRODUCT(--($T$1:$T238&lt;&gt;$T$2:$T239)),2)</f>
        <v>0</v>
      </c>
    </row>
    <row r="240" spans="1:54" ht="14.4" hidden="1" x14ac:dyDescent="0.3">
      <c r="A240" s="1" t="s">
        <v>294</v>
      </c>
      <c r="B240" s="124" t="s">
        <v>216</v>
      </c>
      <c r="C240" s="1" t="s">
        <v>56</v>
      </c>
      <c r="D240" s="1">
        <v>4</v>
      </c>
      <c r="E240" s="2">
        <v>3130.0010000000002</v>
      </c>
      <c r="F240" s="2">
        <v>3341</v>
      </c>
      <c r="G240" s="2">
        <v>200.001</v>
      </c>
      <c r="H240" s="2">
        <v>1910.73</v>
      </c>
      <c r="J240" s="1">
        <v>12300</v>
      </c>
      <c r="L240" s="3" t="s">
        <v>278</v>
      </c>
      <c r="M240" s="115">
        <v>45257</v>
      </c>
      <c r="V240" s="4">
        <v>10.46</v>
      </c>
      <c r="W240" s="4">
        <v>0.76200000000000001</v>
      </c>
      <c r="AD240" s="4" t="s">
        <v>277</v>
      </c>
      <c r="AF240" s="1" t="s">
        <v>712</v>
      </c>
      <c r="AG240" s="1" t="s">
        <v>706</v>
      </c>
      <c r="AL240" s="1" t="s">
        <v>708</v>
      </c>
      <c r="AM240" s="99">
        <v>45258</v>
      </c>
      <c r="AP240" s="2">
        <v>3</v>
      </c>
      <c r="AQ240" s="4">
        <v>13.866</v>
      </c>
      <c r="AR240" s="4" t="str">
        <f>IF(ISNA(MATCH($BA240,planas!$BA:$BA,0)),"ne","taip")</f>
        <v>ne</v>
      </c>
      <c r="BA240" s="1" t="s">
        <v>448</v>
      </c>
      <c r="BB240" s="1">
        <f>MOD(SUMPRODUCT(--($T$1:$T239&lt;&gt;$T$2:$T240)),2)</f>
        <v>0</v>
      </c>
    </row>
    <row r="241" spans="1:54" ht="14.4" hidden="1" x14ac:dyDescent="0.3">
      <c r="A241" s="1" t="s">
        <v>294</v>
      </c>
      <c r="B241" s="124" t="s">
        <v>383</v>
      </c>
      <c r="C241" s="1" t="s">
        <v>57</v>
      </c>
      <c r="D241" s="1">
        <v>2</v>
      </c>
      <c r="E241" s="2">
        <v>3130.0030000000002</v>
      </c>
      <c r="F241" s="2">
        <v>3145.0230000000001</v>
      </c>
      <c r="G241" s="2">
        <v>595</v>
      </c>
      <c r="H241" s="2">
        <v>4039.49</v>
      </c>
      <c r="J241" s="1">
        <v>7150</v>
      </c>
      <c r="L241" s="3" t="s">
        <v>348</v>
      </c>
      <c r="M241" s="115">
        <v>45219</v>
      </c>
      <c r="V241" s="4">
        <v>9.84</v>
      </c>
      <c r="W241" s="4">
        <v>1.5880000000000001</v>
      </c>
      <c r="AD241" s="4" t="s">
        <v>584</v>
      </c>
      <c r="AF241" s="1" t="s">
        <v>711</v>
      </c>
      <c r="AG241" s="1" t="s">
        <v>707</v>
      </c>
      <c r="AL241" s="1" t="s">
        <v>708</v>
      </c>
      <c r="AM241" s="99">
        <v>45222</v>
      </c>
      <c r="AP241" s="2">
        <v>2</v>
      </c>
      <c r="AQ241" s="4">
        <v>30.715</v>
      </c>
      <c r="AR241" s="4" t="str">
        <f>IF(ISNA(MATCH($BA241,planas!$BA:$BA,0)),"ne","taip")</f>
        <v>ne</v>
      </c>
      <c r="BA241" s="1" t="s">
        <v>382</v>
      </c>
      <c r="BB241" s="1">
        <f>MOD(SUMPRODUCT(--($T$1:$T240&lt;&gt;$T$2:$T241)),2)</f>
        <v>0</v>
      </c>
    </row>
    <row r="242" spans="1:54" ht="14.4" hidden="1" x14ac:dyDescent="0.3">
      <c r="A242" s="1" t="s">
        <v>294</v>
      </c>
      <c r="B242" s="124" t="s">
        <v>184</v>
      </c>
      <c r="C242" s="1" t="s">
        <v>56</v>
      </c>
      <c r="D242" s="1">
        <v>4</v>
      </c>
      <c r="E242" s="2">
        <v>3130</v>
      </c>
      <c r="F242" s="2">
        <v>2531</v>
      </c>
      <c r="G242" s="2">
        <v>200</v>
      </c>
      <c r="H242" s="2">
        <v>3846.23</v>
      </c>
      <c r="J242" s="1">
        <v>12320</v>
      </c>
      <c r="L242" s="3" t="s">
        <v>278</v>
      </c>
      <c r="M242" s="115">
        <v>45257</v>
      </c>
      <c r="V242" s="4">
        <v>7.92</v>
      </c>
      <c r="W242" s="4">
        <v>1.573</v>
      </c>
      <c r="AD242" s="4" t="s">
        <v>277</v>
      </c>
      <c r="AF242" s="1" t="s">
        <v>712</v>
      </c>
      <c r="AG242" s="1" t="s">
        <v>706</v>
      </c>
      <c r="AL242" s="1" t="s">
        <v>708</v>
      </c>
      <c r="AM242" s="99">
        <v>45258</v>
      </c>
      <c r="AQ242" s="4">
        <v>10.656000000000001</v>
      </c>
      <c r="AR242" s="4" t="str">
        <f>IF(ISNA(MATCH($BA242,planas!$BA:$BA,0)),"ne","taip")</f>
        <v>ne</v>
      </c>
      <c r="BA242" s="1" t="s">
        <v>481</v>
      </c>
      <c r="BB242" s="1">
        <f>MOD(SUMPRODUCT(--($T$1:$T241&lt;&gt;$T$2:$T242)),2)</f>
        <v>0</v>
      </c>
    </row>
    <row r="243" spans="1:54" ht="14.4" hidden="1" x14ac:dyDescent="0.3">
      <c r="A243" s="1" t="s">
        <v>294</v>
      </c>
      <c r="B243" s="124" t="s">
        <v>254</v>
      </c>
      <c r="C243" s="1" t="s">
        <v>56</v>
      </c>
      <c r="D243" s="1">
        <v>4</v>
      </c>
      <c r="E243" s="2">
        <v>3130.0070000000001</v>
      </c>
      <c r="F243" s="2">
        <v>6180</v>
      </c>
      <c r="G243" s="2">
        <v>200.03700000000001</v>
      </c>
      <c r="H243" s="2">
        <v>8059.31</v>
      </c>
      <c r="J243" s="1">
        <v>12180</v>
      </c>
      <c r="L243" s="3" t="s">
        <v>753</v>
      </c>
      <c r="M243" s="115">
        <v>45257</v>
      </c>
      <c r="V243" s="4">
        <v>19.34</v>
      </c>
      <c r="W243" s="4">
        <v>3.2749999999999999</v>
      </c>
      <c r="AD243" s="4" t="s">
        <v>277</v>
      </c>
      <c r="AF243" s="1" t="s">
        <v>712</v>
      </c>
      <c r="AG243" s="1" t="s">
        <v>706</v>
      </c>
      <c r="AL243" s="1" t="s">
        <v>708</v>
      </c>
      <c r="AM243" s="99">
        <v>45258</v>
      </c>
      <c r="AQ243" s="4">
        <v>46.671999999999997</v>
      </c>
      <c r="AR243" s="4" t="str">
        <f>IF(ISNA(MATCH($BA243,planas!$BA:$BA,0)),"ne","taip")</f>
        <v>ne</v>
      </c>
      <c r="BA243" s="1" t="s">
        <v>442</v>
      </c>
      <c r="BB243" s="1">
        <f>MOD(SUMPRODUCT(--($T$1:$T242&lt;&gt;$T$2:$T243)),2)</f>
        <v>0</v>
      </c>
    </row>
    <row r="244" spans="1:54" ht="14.4" hidden="1" x14ac:dyDescent="0.3">
      <c r="A244" s="1" t="s">
        <v>294</v>
      </c>
      <c r="B244" s="124" t="s">
        <v>208</v>
      </c>
      <c r="C244" s="1" t="s">
        <v>56</v>
      </c>
      <c r="D244" s="1">
        <v>3</v>
      </c>
      <c r="E244" s="2">
        <v>3130.0010000000002</v>
      </c>
      <c r="F244" s="2">
        <v>3804.9989999999998</v>
      </c>
      <c r="G244" s="2">
        <v>200.023</v>
      </c>
      <c r="H244" s="2">
        <v>4684.5</v>
      </c>
      <c r="J244" s="1">
        <v>11140</v>
      </c>
      <c r="L244" s="3" t="s">
        <v>753</v>
      </c>
      <c r="M244" s="115">
        <v>45250</v>
      </c>
      <c r="V244" s="4">
        <v>11.91</v>
      </c>
      <c r="W244" s="4">
        <v>1.9039999999999999</v>
      </c>
      <c r="AD244" s="4" t="s">
        <v>277</v>
      </c>
      <c r="AF244" s="1" t="s">
        <v>712</v>
      </c>
      <c r="AG244" s="1" t="s">
        <v>711</v>
      </c>
      <c r="AL244" s="1" t="s">
        <v>708</v>
      </c>
      <c r="AM244" s="99">
        <v>45251</v>
      </c>
      <c r="AP244" s="2">
        <v>1</v>
      </c>
      <c r="AQ244" s="4">
        <v>21.984000000000002</v>
      </c>
      <c r="AR244" s="4" t="str">
        <f>IF(ISNA(MATCH($BA244,planas!$BA:$BA,0)),"ne","taip")</f>
        <v>ne</v>
      </c>
      <c r="BA244" s="1" t="s">
        <v>446</v>
      </c>
      <c r="BB244" s="1">
        <f>MOD(SUMPRODUCT(--($T$1:$T243&lt;&gt;$T$2:$T244)),2)</f>
        <v>0</v>
      </c>
    </row>
    <row r="245" spans="1:54" ht="14.4" hidden="1" x14ac:dyDescent="0.3">
      <c r="A245" s="1" t="s">
        <v>294</v>
      </c>
      <c r="B245" s="124" t="s">
        <v>135</v>
      </c>
      <c r="C245" s="1" t="s">
        <v>56</v>
      </c>
      <c r="D245" s="1">
        <v>1</v>
      </c>
      <c r="E245" s="2">
        <v>2910.0070000000001</v>
      </c>
      <c r="F245" s="2">
        <v>1781</v>
      </c>
      <c r="G245" s="2">
        <v>200.00399999999999</v>
      </c>
      <c r="H245" s="2">
        <v>2524.2199999999998</v>
      </c>
      <c r="J245" s="1">
        <v>8880</v>
      </c>
      <c r="L245" s="3" t="s">
        <v>278</v>
      </c>
      <c r="M245" s="115">
        <v>45237</v>
      </c>
      <c r="V245" s="4">
        <v>5.18</v>
      </c>
      <c r="W245" s="4">
        <v>1.0289999999999999</v>
      </c>
      <c r="AD245" s="4" t="s">
        <v>277</v>
      </c>
      <c r="AF245" s="1" t="s">
        <v>706</v>
      </c>
      <c r="AG245" s="1" t="s">
        <v>755</v>
      </c>
      <c r="AL245" s="1" t="s">
        <v>708</v>
      </c>
      <c r="AM245" s="99">
        <v>45238</v>
      </c>
      <c r="AQ245" s="4">
        <v>8.1199999999999992</v>
      </c>
      <c r="AR245" s="4" t="str">
        <f>IF(ISNA(MATCH($BA245,planas!$BA:$BA,0)),"ne","taip")</f>
        <v>ne</v>
      </c>
      <c r="BA245" s="1" t="s">
        <v>505</v>
      </c>
      <c r="BB245" s="1">
        <f>MOD(SUMPRODUCT(--($T$1:$T244&lt;&gt;$T$2:$T245)),2)</f>
        <v>0</v>
      </c>
    </row>
    <row r="246" spans="1:54" ht="14.4" hidden="1" x14ac:dyDescent="0.3">
      <c r="A246" s="1" t="s">
        <v>294</v>
      </c>
      <c r="B246" s="124" t="s">
        <v>219</v>
      </c>
      <c r="C246" s="1" t="s">
        <v>56</v>
      </c>
      <c r="D246" s="1">
        <v>4</v>
      </c>
      <c r="E246" s="2">
        <v>3130.0230000000001</v>
      </c>
      <c r="F246" s="2">
        <v>5660.9970000000003</v>
      </c>
      <c r="G246" s="2">
        <v>400.00599999999997</v>
      </c>
      <c r="H246" s="2">
        <v>8373.59</v>
      </c>
      <c r="J246" s="1">
        <v>12280</v>
      </c>
      <c r="L246" s="3" t="s">
        <v>278</v>
      </c>
      <c r="M246" s="115">
        <v>45257</v>
      </c>
      <c r="V246" s="4">
        <v>17.72</v>
      </c>
      <c r="W246" s="4">
        <v>3.41</v>
      </c>
      <c r="AD246" s="4" t="s">
        <v>277</v>
      </c>
      <c r="AF246" s="1" t="s">
        <v>712</v>
      </c>
      <c r="AG246" s="1" t="s">
        <v>706</v>
      </c>
      <c r="AL246" s="1" t="s">
        <v>708</v>
      </c>
      <c r="AM246" s="99">
        <v>45258</v>
      </c>
      <c r="AP246" s="2">
        <v>1</v>
      </c>
      <c r="AQ246" s="4">
        <v>50.408999999999999</v>
      </c>
      <c r="AR246" s="4" t="str">
        <f>IF(ISNA(MATCH($BA246,planas!$BA:$BA,0)),"ne","taip")</f>
        <v>ne</v>
      </c>
      <c r="BA246" s="1" t="s">
        <v>416</v>
      </c>
      <c r="BB246" s="1">
        <f>MOD(SUMPRODUCT(--($T$1:$T245&lt;&gt;$T$2:$T246)),2)</f>
        <v>0</v>
      </c>
    </row>
    <row r="247" spans="1:54" ht="14.4" hidden="1" x14ac:dyDescent="0.3">
      <c r="A247" s="1" t="s">
        <v>294</v>
      </c>
      <c r="B247" s="124" t="s">
        <v>212</v>
      </c>
      <c r="C247" s="1" t="s">
        <v>56</v>
      </c>
      <c r="D247" s="1">
        <v>4</v>
      </c>
      <c r="E247" s="2">
        <v>3130</v>
      </c>
      <c r="F247" s="2">
        <v>1560</v>
      </c>
      <c r="G247" s="2">
        <v>200</v>
      </c>
      <c r="H247" s="2">
        <v>2369.6799999999998</v>
      </c>
      <c r="J247" s="1">
        <v>11210</v>
      </c>
      <c r="L247" s="3" t="s">
        <v>753</v>
      </c>
      <c r="M247" s="115">
        <v>45250</v>
      </c>
      <c r="V247" s="4">
        <v>4.88</v>
      </c>
      <c r="W247" s="4">
        <v>0.96899999999999997</v>
      </c>
      <c r="AD247" s="4" t="s">
        <v>277</v>
      </c>
      <c r="AF247" s="1" t="s">
        <v>712</v>
      </c>
      <c r="AG247" s="1" t="s">
        <v>711</v>
      </c>
      <c r="AL247" s="1" t="s">
        <v>708</v>
      </c>
      <c r="AM247" s="99">
        <v>45251</v>
      </c>
      <c r="AQ247" s="4">
        <v>5.7160000000000002</v>
      </c>
      <c r="AR247" s="4" t="str">
        <f>IF(ISNA(MATCH($BA247,planas!$BA:$BA,0)),"ne","taip")</f>
        <v>ne</v>
      </c>
      <c r="BA247" s="1" t="s">
        <v>433</v>
      </c>
      <c r="BB247" s="1">
        <f>MOD(SUMPRODUCT(--($T$1:$T246&lt;&gt;$T$2:$T247)),2)</f>
        <v>0</v>
      </c>
    </row>
    <row r="248" spans="1:54" ht="14.4" hidden="1" x14ac:dyDescent="0.3">
      <c r="A248" s="1" t="s">
        <v>294</v>
      </c>
      <c r="B248" s="124" t="s">
        <v>347</v>
      </c>
      <c r="C248" s="1" t="s">
        <v>57</v>
      </c>
      <c r="D248" s="1">
        <v>1</v>
      </c>
      <c r="E248" s="2">
        <v>3270.027</v>
      </c>
      <c r="F248" s="2">
        <v>7524.9970000000003</v>
      </c>
      <c r="G248" s="2">
        <v>595.029</v>
      </c>
      <c r="H248" s="2">
        <v>9872.41</v>
      </c>
      <c r="J248" s="1">
        <v>8580</v>
      </c>
      <c r="L248" s="3" t="s">
        <v>348</v>
      </c>
      <c r="M248" s="115">
        <v>45233</v>
      </c>
      <c r="V248" s="4">
        <v>24.61</v>
      </c>
      <c r="W248" s="4">
        <v>3.847</v>
      </c>
      <c r="AD248" s="4" t="s">
        <v>584</v>
      </c>
      <c r="AF248" s="1" t="s">
        <v>706</v>
      </c>
      <c r="AG248" s="1" t="s">
        <v>755</v>
      </c>
      <c r="AL248" s="1" t="s">
        <v>708</v>
      </c>
      <c r="AM248" s="99">
        <v>45236</v>
      </c>
      <c r="AP248" s="2">
        <v>2</v>
      </c>
      <c r="AQ248" s="4">
        <v>31.141999999999999</v>
      </c>
      <c r="AR248" s="4" t="str">
        <f>IF(ISNA(MATCH($BA248,planas!$BA:$BA,0)),"ne","taip")</f>
        <v>ne</v>
      </c>
      <c r="BA248" s="1" t="s">
        <v>524</v>
      </c>
      <c r="BB248" s="1">
        <f>MOD(SUMPRODUCT(--($T$1:$T247&lt;&gt;$T$2:$T248)),2)</f>
        <v>0</v>
      </c>
    </row>
    <row r="249" spans="1:54" ht="14.4" hidden="1" x14ac:dyDescent="0.3">
      <c r="A249" s="1" t="s">
        <v>294</v>
      </c>
      <c r="B249" s="124" t="s">
        <v>340</v>
      </c>
      <c r="C249" s="1" t="s">
        <v>57</v>
      </c>
      <c r="D249" s="1">
        <v>2</v>
      </c>
      <c r="E249" s="2">
        <v>3130.011</v>
      </c>
      <c r="F249" s="2">
        <v>3094.9670000000001</v>
      </c>
      <c r="G249" s="2">
        <v>594.99900000000002</v>
      </c>
      <c r="H249" s="2">
        <v>4047.91</v>
      </c>
      <c r="J249" s="1">
        <v>7140</v>
      </c>
      <c r="L249" s="3" t="s">
        <v>349</v>
      </c>
      <c r="M249" s="115">
        <v>45219</v>
      </c>
      <c r="V249" s="4">
        <v>9.69</v>
      </c>
      <c r="W249" s="4">
        <v>1.5980000000000001</v>
      </c>
      <c r="AD249" s="4" t="s">
        <v>584</v>
      </c>
      <c r="AF249" s="1" t="s">
        <v>711</v>
      </c>
      <c r="AG249" s="1" t="s">
        <v>707</v>
      </c>
      <c r="AL249" s="1" t="s">
        <v>708</v>
      </c>
      <c r="AM249" s="99">
        <v>45222</v>
      </c>
      <c r="AQ249" s="4">
        <v>26.614000000000001</v>
      </c>
      <c r="AR249" s="4" t="str">
        <f>IF(ISNA(MATCH($BA249,planas!$BA:$BA,0)),"ne","taip")</f>
        <v>ne</v>
      </c>
      <c r="BA249" s="1" t="s">
        <v>360</v>
      </c>
      <c r="BB249" s="1">
        <f>MOD(SUMPRODUCT(--($T$1:$T248&lt;&gt;$T$2:$T249)),2)</f>
        <v>0</v>
      </c>
    </row>
    <row r="250" spans="1:54" ht="14.4" hidden="1" x14ac:dyDescent="0.3">
      <c r="A250" s="1" t="s">
        <v>294</v>
      </c>
      <c r="B250" s="124" t="s">
        <v>275</v>
      </c>
      <c r="C250" s="1" t="s">
        <v>56</v>
      </c>
      <c r="D250" s="1">
        <v>1</v>
      </c>
      <c r="E250" s="2">
        <v>3660.0079999999998</v>
      </c>
      <c r="F250" s="2">
        <v>4720</v>
      </c>
      <c r="G250" s="2">
        <v>200.00299999999999</v>
      </c>
      <c r="H250" s="2">
        <v>7337.41</v>
      </c>
      <c r="J250" s="1">
        <v>14370</v>
      </c>
      <c r="L250" s="3" t="s">
        <v>754</v>
      </c>
      <c r="M250" s="115">
        <v>45268</v>
      </c>
      <c r="V250" s="4">
        <v>17.28</v>
      </c>
      <c r="W250" s="4">
        <v>2.9969999999999999</v>
      </c>
      <c r="AD250" s="4" t="s">
        <v>277</v>
      </c>
      <c r="AF250" s="1" t="s">
        <v>710</v>
      </c>
      <c r="AG250" s="1" t="s">
        <v>710</v>
      </c>
      <c r="AL250" s="1" t="s">
        <v>708</v>
      </c>
      <c r="AM250" s="99">
        <v>45271</v>
      </c>
      <c r="AQ250" s="4">
        <v>23.443999999999999</v>
      </c>
      <c r="AR250" s="4" t="str">
        <f>IF(ISNA(MATCH($BA250,planas!$BA:$BA,0)),"ne","taip")</f>
        <v>ne</v>
      </c>
      <c r="BA250" s="1" t="s">
        <v>628</v>
      </c>
      <c r="BB250" s="1">
        <f>MOD(SUMPRODUCT(--($T$1:$T249&lt;&gt;$T$2:$T250)),2)</f>
        <v>0</v>
      </c>
    </row>
    <row r="251" spans="1:54" ht="14.4" x14ac:dyDescent="0.3">
      <c r="A251" s="1" t="s">
        <v>294</v>
      </c>
      <c r="B251" s="124" t="s">
        <v>289</v>
      </c>
      <c r="C251" s="1" t="s">
        <v>56</v>
      </c>
      <c r="D251" s="1">
        <v>2</v>
      </c>
      <c r="E251" s="2">
        <v>1160</v>
      </c>
      <c r="F251" s="2">
        <v>6242.0010000000002</v>
      </c>
      <c r="G251" s="2">
        <v>140.001</v>
      </c>
      <c r="H251" s="2">
        <v>2491.33</v>
      </c>
      <c r="J251" s="1">
        <v>7910</v>
      </c>
      <c r="K251" s="3">
        <v>45167</v>
      </c>
      <c r="L251" s="3" t="s">
        <v>278</v>
      </c>
      <c r="M251" s="115">
        <v>45226</v>
      </c>
      <c r="T251" s="1">
        <v>7</v>
      </c>
      <c r="U251" s="113">
        <v>0.13923076923076924</v>
      </c>
      <c r="V251" s="4">
        <v>7.24</v>
      </c>
      <c r="W251" s="4">
        <v>1.008</v>
      </c>
      <c r="AC251" s="1">
        <v>3</v>
      </c>
      <c r="AD251" s="4" t="s">
        <v>359</v>
      </c>
      <c r="AF251" s="1" t="s">
        <v>711</v>
      </c>
      <c r="AG251" s="1" t="s">
        <v>709</v>
      </c>
      <c r="AL251" s="1" t="s">
        <v>708</v>
      </c>
      <c r="AM251" s="99">
        <v>45229</v>
      </c>
      <c r="AQ251" s="4">
        <v>20.995000000000001</v>
      </c>
      <c r="AR251" s="4" t="str">
        <f>IF(ISNA(MATCH($BA251,planas!$BA:$BA,0)),"ne","taip")</f>
        <v>ne</v>
      </c>
      <c r="BA251" s="1" t="s">
        <v>367</v>
      </c>
      <c r="BB251" s="1">
        <f>MOD(SUMPRODUCT(--($T$1:$T250&lt;&gt;$T$2:$T251)),2)</f>
        <v>1</v>
      </c>
    </row>
    <row r="252" spans="1:54" ht="14.4" hidden="1" x14ac:dyDescent="0.3">
      <c r="A252" s="1" t="s">
        <v>294</v>
      </c>
      <c r="B252" s="124" t="s">
        <v>227</v>
      </c>
      <c r="C252" s="1" t="s">
        <v>56</v>
      </c>
      <c r="D252" s="1">
        <v>4</v>
      </c>
      <c r="E252" s="2">
        <v>2920.0149999999999</v>
      </c>
      <c r="F252" s="2">
        <v>5110</v>
      </c>
      <c r="G252" s="2">
        <v>200.00200000000001</v>
      </c>
      <c r="H252" s="2">
        <v>7269.44</v>
      </c>
      <c r="J252" s="1">
        <v>12140</v>
      </c>
      <c r="L252" s="3" t="s">
        <v>753</v>
      </c>
      <c r="M252" s="115">
        <v>45254</v>
      </c>
      <c r="V252" s="4">
        <v>14.92</v>
      </c>
      <c r="W252" s="4">
        <v>2.97</v>
      </c>
      <c r="AD252" s="4" t="s">
        <v>277</v>
      </c>
      <c r="AF252" s="1" t="s">
        <v>712</v>
      </c>
      <c r="AG252" s="1" t="s">
        <v>706</v>
      </c>
      <c r="AL252" s="1" t="s">
        <v>708</v>
      </c>
      <c r="AM252" s="99">
        <v>45257</v>
      </c>
      <c r="AQ252" s="4">
        <v>23.006</v>
      </c>
      <c r="AR252" s="4" t="str">
        <f>IF(ISNA(MATCH($BA252,planas!$BA:$BA,0)),"ne","taip")</f>
        <v>ne</v>
      </c>
      <c r="BA252" s="1" t="s">
        <v>418</v>
      </c>
      <c r="BB252" s="1">
        <f>MOD(SUMPRODUCT(--($T$1:$T251&lt;&gt;$T$2:$T252)),2)</f>
        <v>0</v>
      </c>
    </row>
    <row r="253" spans="1:54" ht="14.4" hidden="1" x14ac:dyDescent="0.3">
      <c r="A253" s="1" t="s">
        <v>294</v>
      </c>
      <c r="B253" s="124" t="s">
        <v>320</v>
      </c>
      <c r="C253" s="1" t="s">
        <v>57</v>
      </c>
      <c r="D253" s="1">
        <v>2</v>
      </c>
      <c r="E253" s="2">
        <v>3130.0070000000001</v>
      </c>
      <c r="F253" s="2">
        <v>8380.0010000000002</v>
      </c>
      <c r="G253" s="2">
        <v>595</v>
      </c>
      <c r="H253" s="2">
        <v>10684.93</v>
      </c>
      <c r="J253" s="1">
        <v>7100</v>
      </c>
      <c r="L253" s="3" t="s">
        <v>349</v>
      </c>
      <c r="M253" s="115">
        <v>45219</v>
      </c>
      <c r="V253" s="4">
        <v>26.23</v>
      </c>
      <c r="W253" s="4">
        <v>4.2210000000000001</v>
      </c>
      <c r="AD253" s="4" t="s">
        <v>584</v>
      </c>
      <c r="AF253" s="1" t="s">
        <v>711</v>
      </c>
      <c r="AG253" s="1" t="s">
        <v>707</v>
      </c>
      <c r="AL253" s="1" t="s">
        <v>280</v>
      </c>
      <c r="AM253" s="99">
        <v>45222</v>
      </c>
      <c r="AP253" s="2">
        <v>3</v>
      </c>
      <c r="AQ253" s="4">
        <v>59.994999999999997</v>
      </c>
      <c r="AR253" s="4" t="str">
        <f>IF(ISNA(MATCH($BA253,planas!$BA:$BA,0)),"ne","taip")</f>
        <v>ne</v>
      </c>
      <c r="BA253" s="1" t="s">
        <v>365</v>
      </c>
      <c r="BB253" s="1">
        <f>MOD(SUMPRODUCT(--($T$1:$T252&lt;&gt;$T$2:$T253)),2)</f>
        <v>0</v>
      </c>
    </row>
    <row r="254" spans="1:54" ht="14.4" hidden="1" x14ac:dyDescent="0.3">
      <c r="A254" s="1" t="s">
        <v>294</v>
      </c>
      <c r="B254" s="124" t="s">
        <v>306</v>
      </c>
      <c r="C254" s="1" t="s">
        <v>57</v>
      </c>
      <c r="D254" s="1">
        <v>1</v>
      </c>
      <c r="E254" s="2">
        <v>2910.01</v>
      </c>
      <c r="F254" s="2">
        <v>3264.998</v>
      </c>
      <c r="G254" s="2">
        <v>545.02700000000004</v>
      </c>
      <c r="H254" s="2">
        <v>3694.07</v>
      </c>
      <c r="J254" s="1">
        <v>8730</v>
      </c>
      <c r="L254" s="3" t="s">
        <v>349</v>
      </c>
      <c r="M254" s="115">
        <v>45236</v>
      </c>
      <c r="V254" s="4">
        <v>9.5</v>
      </c>
      <c r="W254" s="4">
        <v>1.4570000000000001</v>
      </c>
      <c r="AD254" s="4" t="s">
        <v>584</v>
      </c>
      <c r="AF254" s="1" t="s">
        <v>706</v>
      </c>
      <c r="AG254" s="1" t="s">
        <v>755</v>
      </c>
      <c r="AL254" s="1" t="s">
        <v>708</v>
      </c>
      <c r="AM254" s="99">
        <v>45237</v>
      </c>
      <c r="AP254" s="2">
        <v>3</v>
      </c>
      <c r="AQ254" s="4">
        <v>20.215</v>
      </c>
      <c r="AR254" s="4" t="str">
        <f>IF(ISNA(MATCH($BA254,planas!$BA:$BA,0)),"ne","taip")</f>
        <v>ne</v>
      </c>
      <c r="BA254" s="1" t="s">
        <v>548</v>
      </c>
      <c r="BB254" s="1">
        <f>MOD(SUMPRODUCT(--($T$1:$T253&lt;&gt;$T$2:$T254)),2)</f>
        <v>0</v>
      </c>
    </row>
    <row r="255" spans="1:54" ht="14.4" hidden="1" x14ac:dyDescent="0.3">
      <c r="A255" s="1" t="s">
        <v>294</v>
      </c>
      <c r="B255" s="124" t="s">
        <v>353</v>
      </c>
      <c r="C255" s="1" t="s">
        <v>57</v>
      </c>
      <c r="D255" s="1">
        <v>2</v>
      </c>
      <c r="E255" s="2">
        <v>3280.0039999999999</v>
      </c>
      <c r="F255" s="2">
        <v>4409.973</v>
      </c>
      <c r="G255" s="2">
        <v>595.01099999999997</v>
      </c>
      <c r="H255" s="2">
        <v>5387.12</v>
      </c>
      <c r="J255" s="1">
        <v>9710</v>
      </c>
      <c r="L255" s="3" t="s">
        <v>349</v>
      </c>
      <c r="M255" s="115">
        <v>45243</v>
      </c>
      <c r="V255" s="4">
        <v>14.46</v>
      </c>
      <c r="W255" s="4">
        <v>2.0990000000000002</v>
      </c>
      <c r="AD255" s="4" t="s">
        <v>584</v>
      </c>
      <c r="AF255" s="1" t="s">
        <v>706</v>
      </c>
      <c r="AG255" s="1" t="s">
        <v>713</v>
      </c>
      <c r="AL255" s="1" t="s">
        <v>708</v>
      </c>
      <c r="AM255" s="99">
        <v>45244</v>
      </c>
      <c r="AP255" s="2">
        <v>1</v>
      </c>
      <c r="AQ255" s="4">
        <v>23.466000000000001</v>
      </c>
      <c r="AR255" s="4" t="str">
        <f>IF(ISNA(MATCH($BA255,planas!$BA:$BA,0)),"ne","taip")</f>
        <v>ne</v>
      </c>
      <c r="BA255" s="1" t="s">
        <v>558</v>
      </c>
      <c r="BB255" s="1">
        <f>MOD(SUMPRODUCT(--($T$1:$T254&lt;&gt;$T$2:$T255)),2)</f>
        <v>0</v>
      </c>
    </row>
    <row r="256" spans="1:54" ht="14.4" hidden="1" x14ac:dyDescent="0.3">
      <c r="A256" s="1" t="s">
        <v>294</v>
      </c>
      <c r="B256" s="124" t="s">
        <v>310</v>
      </c>
      <c r="C256" s="1" t="s">
        <v>57</v>
      </c>
      <c r="D256" s="1">
        <v>1</v>
      </c>
      <c r="E256" s="2">
        <v>3280.009</v>
      </c>
      <c r="F256" s="2">
        <v>7180.0469999999996</v>
      </c>
      <c r="G256" s="2">
        <v>595.03200000000004</v>
      </c>
      <c r="H256" s="2">
        <v>8624.34</v>
      </c>
      <c r="J256" s="1">
        <v>9750</v>
      </c>
      <c r="L256" s="3" t="s">
        <v>348</v>
      </c>
      <c r="M256" s="115">
        <v>45243</v>
      </c>
      <c r="V256" s="4">
        <v>23.55</v>
      </c>
      <c r="W256" s="4">
        <v>3.3540000000000001</v>
      </c>
      <c r="AD256" s="4" t="s">
        <v>584</v>
      </c>
      <c r="AF256" s="1" t="s">
        <v>706</v>
      </c>
      <c r="AG256" s="1" t="s">
        <v>713</v>
      </c>
      <c r="AL256" s="1" t="s">
        <v>708</v>
      </c>
      <c r="AM256" s="99">
        <v>45244</v>
      </c>
      <c r="AP256" s="2">
        <v>2</v>
      </c>
      <c r="AQ256" s="4">
        <v>45.104999999999997</v>
      </c>
      <c r="AR256" s="4" t="str">
        <f>IF(ISNA(MATCH($BA256,planas!$BA:$BA,0)),"ne","taip")</f>
        <v>ne</v>
      </c>
      <c r="BA256" s="1" t="s">
        <v>561</v>
      </c>
      <c r="BB256" s="1">
        <f>MOD(SUMPRODUCT(--($T$1:$T255&lt;&gt;$T$2:$T256)),2)</f>
        <v>0</v>
      </c>
    </row>
    <row r="257" spans="1:54" ht="14.4" hidden="1" x14ac:dyDescent="0.3">
      <c r="A257" s="1" t="s">
        <v>294</v>
      </c>
      <c r="B257" s="124" t="s">
        <v>215</v>
      </c>
      <c r="C257" s="1" t="s">
        <v>56</v>
      </c>
      <c r="D257" s="1">
        <v>3</v>
      </c>
      <c r="E257" s="2">
        <v>2930.0070000000001</v>
      </c>
      <c r="F257" s="2">
        <v>4531</v>
      </c>
      <c r="G257" s="2">
        <v>200.03800000000001</v>
      </c>
      <c r="H257" s="2">
        <v>4933.3599999999997</v>
      </c>
      <c r="J257" s="1">
        <v>13410</v>
      </c>
      <c r="L257" s="3" t="s">
        <v>278</v>
      </c>
      <c r="M257" s="115">
        <v>45264</v>
      </c>
      <c r="V257" s="4">
        <v>13.28</v>
      </c>
      <c r="W257" s="4">
        <v>2.012</v>
      </c>
      <c r="AD257" s="4" t="s">
        <v>277</v>
      </c>
      <c r="AF257" s="1" t="s">
        <v>710</v>
      </c>
      <c r="AG257" s="1" t="s">
        <v>712</v>
      </c>
      <c r="AL257" s="1" t="s">
        <v>708</v>
      </c>
      <c r="AM257" s="99">
        <v>45265</v>
      </c>
      <c r="AQ257" s="4">
        <v>26.478999999999999</v>
      </c>
      <c r="AR257" s="4" t="str">
        <f>IF(ISNA(MATCH($BA257,planas!$BA:$BA,0)),"ne","taip")</f>
        <v>ne</v>
      </c>
      <c r="BA257" s="1" t="s">
        <v>463</v>
      </c>
      <c r="BB257" s="1">
        <f>MOD(SUMPRODUCT(--($T$1:$T256&lt;&gt;$T$2:$T257)),2)</f>
        <v>0</v>
      </c>
    </row>
    <row r="258" spans="1:54" ht="14.4" hidden="1" x14ac:dyDescent="0.3">
      <c r="A258" s="1" t="s">
        <v>294</v>
      </c>
      <c r="B258" s="124" t="s">
        <v>351</v>
      </c>
      <c r="C258" s="1" t="s">
        <v>57</v>
      </c>
      <c r="D258" s="1">
        <v>2</v>
      </c>
      <c r="E258" s="2">
        <v>3280.0070000000001</v>
      </c>
      <c r="F258" s="2">
        <v>6210.0079999999998</v>
      </c>
      <c r="G258" s="2">
        <v>595.00199999999995</v>
      </c>
      <c r="H258" s="2">
        <v>7744.03</v>
      </c>
      <c r="J258" s="1">
        <v>12060</v>
      </c>
      <c r="L258" s="3" t="s">
        <v>349</v>
      </c>
      <c r="M258" s="115">
        <v>45254</v>
      </c>
      <c r="V258" s="4">
        <v>20.37</v>
      </c>
      <c r="W258" s="4">
        <v>3.0150000000000001</v>
      </c>
      <c r="AD258" s="4" t="s">
        <v>584</v>
      </c>
      <c r="AF258" s="1" t="s">
        <v>712</v>
      </c>
      <c r="AG258" s="1" t="s">
        <v>706</v>
      </c>
      <c r="AL258" s="1" t="s">
        <v>708</v>
      </c>
      <c r="AM258" s="99">
        <v>45257</v>
      </c>
      <c r="AP258" s="2">
        <v>2</v>
      </c>
      <c r="AQ258" s="4">
        <v>26.437999999999999</v>
      </c>
      <c r="AR258" s="4" t="str">
        <f>IF(ISNA(MATCH($BA258,planas!$BA:$BA,0)),"ne","taip")</f>
        <v>ne</v>
      </c>
      <c r="BA258" s="1" t="s">
        <v>581</v>
      </c>
      <c r="BB258" s="1">
        <f>MOD(SUMPRODUCT(--($T$1:$T257&lt;&gt;$T$2:$T258)),2)</f>
        <v>0</v>
      </c>
    </row>
    <row r="259" spans="1:54" ht="14.4" hidden="1" x14ac:dyDescent="0.3">
      <c r="A259" s="1" t="s">
        <v>294</v>
      </c>
      <c r="B259" s="124" t="s">
        <v>155</v>
      </c>
      <c r="C259" s="1" t="s">
        <v>56</v>
      </c>
      <c r="D259" s="1">
        <v>4</v>
      </c>
      <c r="E259" s="2">
        <v>2920.0059999999999</v>
      </c>
      <c r="F259" s="2">
        <v>1781</v>
      </c>
      <c r="G259" s="2">
        <v>200.00399999999999</v>
      </c>
      <c r="H259" s="2">
        <v>2529.29</v>
      </c>
      <c r="J259" s="1">
        <v>12221</v>
      </c>
      <c r="L259" s="3" t="s">
        <v>278</v>
      </c>
      <c r="M259" s="115">
        <v>45257</v>
      </c>
      <c r="V259" s="4">
        <v>5.2</v>
      </c>
      <c r="W259" s="4">
        <v>1.0329999999999999</v>
      </c>
      <c r="AD259" s="4" t="s">
        <v>277</v>
      </c>
      <c r="AF259" s="1" t="s">
        <v>712</v>
      </c>
      <c r="AG259" s="1" t="s">
        <v>706</v>
      </c>
      <c r="AL259" s="1" t="s">
        <v>708</v>
      </c>
      <c r="AM259" s="99">
        <v>45258</v>
      </c>
      <c r="AQ259" s="4">
        <v>5.9859999999999998</v>
      </c>
      <c r="AR259" s="4" t="str">
        <f>IF(ISNA(MATCH($BA259,planas!$BA:$BA,0)),"ne","taip")</f>
        <v>ne</v>
      </c>
      <c r="BA259" s="1" t="s">
        <v>404</v>
      </c>
      <c r="BB259" s="1">
        <f>MOD(SUMPRODUCT(--($T$1:$T258&lt;&gt;$T$2:$T259)),2)</f>
        <v>0</v>
      </c>
    </row>
    <row r="260" spans="1:54" ht="14.4" hidden="1" x14ac:dyDescent="0.3">
      <c r="A260" s="1" t="s">
        <v>294</v>
      </c>
      <c r="B260" s="124" t="s">
        <v>205</v>
      </c>
      <c r="C260" s="1" t="s">
        <v>56</v>
      </c>
      <c r="D260" s="1">
        <v>4</v>
      </c>
      <c r="E260" s="2">
        <v>3130.0070000000001</v>
      </c>
      <c r="F260" s="2">
        <v>2081.0010000000002</v>
      </c>
      <c r="G260" s="2">
        <v>200.00399999999999</v>
      </c>
      <c r="H260" s="2">
        <v>3124.13</v>
      </c>
      <c r="J260" s="1">
        <v>13250</v>
      </c>
      <c r="L260" s="3" t="s">
        <v>278</v>
      </c>
      <c r="M260" s="115">
        <v>45261</v>
      </c>
      <c r="V260" s="4">
        <v>6.51</v>
      </c>
      <c r="W260" s="4">
        <v>1.272</v>
      </c>
      <c r="AD260" s="4" t="s">
        <v>277</v>
      </c>
      <c r="AF260" s="1" t="s">
        <v>710</v>
      </c>
      <c r="AG260" s="1" t="s">
        <v>712</v>
      </c>
      <c r="AL260" s="1" t="s">
        <v>708</v>
      </c>
      <c r="AM260" s="99">
        <v>45264</v>
      </c>
      <c r="AQ260" s="4">
        <v>20.077999999999999</v>
      </c>
      <c r="AR260" s="4" t="str">
        <f>IF(ISNA(MATCH($BA260,planas!$BA:$BA,0)),"ne","taip")</f>
        <v>ne</v>
      </c>
      <c r="BA260" s="1" t="s">
        <v>436</v>
      </c>
      <c r="BB260" s="1">
        <f>MOD(SUMPRODUCT(--($T$1:$T259&lt;&gt;$T$2:$T260)),2)</f>
        <v>0</v>
      </c>
    </row>
    <row r="261" spans="1:54" ht="14.4" hidden="1" x14ac:dyDescent="0.3">
      <c r="A261" s="1" t="s">
        <v>294</v>
      </c>
      <c r="B261" s="124" t="s">
        <v>288</v>
      </c>
      <c r="C261" s="1" t="s">
        <v>56</v>
      </c>
      <c r="D261" s="1">
        <v>1</v>
      </c>
      <c r="E261" s="2">
        <v>1110</v>
      </c>
      <c r="F261" s="2">
        <v>8031.0010000000002</v>
      </c>
      <c r="G261" s="2">
        <v>140.00200000000001</v>
      </c>
      <c r="H261" s="2">
        <v>3070.45</v>
      </c>
      <c r="J261" s="1">
        <v>15580</v>
      </c>
      <c r="L261" s="3" t="s">
        <v>278</v>
      </c>
      <c r="M261" s="115">
        <v>45278</v>
      </c>
      <c r="V261" s="4">
        <v>8.91</v>
      </c>
      <c r="W261" s="4">
        <v>1.244</v>
      </c>
      <c r="AD261" s="4" t="s">
        <v>359</v>
      </c>
      <c r="AF261" s="1" t="s">
        <v>710</v>
      </c>
      <c r="AG261" s="1" t="s">
        <v>707</v>
      </c>
      <c r="AL261" s="1" t="s">
        <v>708</v>
      </c>
      <c r="AM261" s="99">
        <v>45279</v>
      </c>
      <c r="AQ261" s="4">
        <v>26.245999999999999</v>
      </c>
      <c r="AR261" s="4" t="str">
        <f>IF(ISNA(MATCH($BA261,planas!$BA:$BA,0)),"ne","taip")</f>
        <v>ne</v>
      </c>
      <c r="BA261" s="1" t="s">
        <v>670</v>
      </c>
      <c r="BB261" s="1">
        <f>MOD(SUMPRODUCT(--($T$1:$T260&lt;&gt;$T$2:$T261)),2)</f>
        <v>0</v>
      </c>
    </row>
    <row r="262" spans="1:54" ht="14.4" hidden="1" x14ac:dyDescent="0.3">
      <c r="A262" s="1" t="s">
        <v>294</v>
      </c>
      <c r="B262" s="124" t="s">
        <v>210</v>
      </c>
      <c r="C262" s="1" t="s">
        <v>56</v>
      </c>
      <c r="D262" s="1">
        <v>4</v>
      </c>
      <c r="E262" s="2">
        <v>3130.0070000000001</v>
      </c>
      <c r="F262" s="2">
        <v>6609.9989999999998</v>
      </c>
      <c r="G262" s="2">
        <v>200.03700000000001</v>
      </c>
      <c r="H262" s="2">
        <v>8937.85</v>
      </c>
      <c r="J262" s="1">
        <v>11030</v>
      </c>
      <c r="L262" s="3" t="s">
        <v>753</v>
      </c>
      <c r="M262" s="115">
        <v>45250</v>
      </c>
      <c r="V262" s="4">
        <v>20.69</v>
      </c>
      <c r="W262" s="4">
        <v>3.6520000000000001</v>
      </c>
      <c r="AD262" s="4" t="s">
        <v>277</v>
      </c>
      <c r="AF262" s="1" t="s">
        <v>712</v>
      </c>
      <c r="AG262" s="1" t="s">
        <v>711</v>
      </c>
      <c r="AL262" s="1" t="s">
        <v>708</v>
      </c>
      <c r="AM262" s="99">
        <v>45251</v>
      </c>
      <c r="AQ262" s="4">
        <v>30.646000000000001</v>
      </c>
      <c r="AR262" s="4" t="str">
        <f>IF(ISNA(MATCH($BA262,planas!$BA:$BA,0)),"ne","taip")</f>
        <v>ne</v>
      </c>
      <c r="BA262" s="1" t="s">
        <v>405</v>
      </c>
      <c r="BB262" s="1">
        <f>MOD(SUMPRODUCT(--($T$1:$T261&lt;&gt;$T$2:$T262)),2)</f>
        <v>0</v>
      </c>
    </row>
    <row r="263" spans="1:54" ht="14.4" hidden="1" x14ac:dyDescent="0.3">
      <c r="A263" s="1" t="s">
        <v>294</v>
      </c>
      <c r="B263" s="124" t="s">
        <v>196</v>
      </c>
      <c r="C263" s="1" t="s">
        <v>56</v>
      </c>
      <c r="D263" s="1">
        <v>4</v>
      </c>
      <c r="E263" s="2">
        <v>2920.0070000000001</v>
      </c>
      <c r="F263" s="2">
        <v>3430</v>
      </c>
      <c r="G263" s="2">
        <v>200.006</v>
      </c>
      <c r="H263" s="2">
        <v>4869.1400000000003</v>
      </c>
      <c r="J263" s="1">
        <v>11110</v>
      </c>
      <c r="L263" s="3" t="s">
        <v>753</v>
      </c>
      <c r="M263" s="115">
        <v>45250</v>
      </c>
      <c r="V263" s="4">
        <v>10.02</v>
      </c>
      <c r="W263" s="4">
        <v>1.988</v>
      </c>
      <c r="AD263" s="4" t="s">
        <v>277</v>
      </c>
      <c r="AF263" s="1" t="s">
        <v>712</v>
      </c>
      <c r="AG263" s="1" t="s">
        <v>711</v>
      </c>
      <c r="AL263" s="1" t="s">
        <v>708</v>
      </c>
      <c r="AM263" s="99">
        <v>45251</v>
      </c>
      <c r="AQ263" s="4">
        <v>15.66</v>
      </c>
      <c r="AR263" s="4" t="str">
        <f>IF(ISNA(MATCH($BA263,planas!$BA:$BA,0)),"ne","taip")</f>
        <v>ne</v>
      </c>
      <c r="BA263" s="1" t="s">
        <v>452</v>
      </c>
      <c r="BB263" s="1">
        <f>MOD(SUMPRODUCT(--($T$1:$T262&lt;&gt;$T$2:$T263)),2)</f>
        <v>0</v>
      </c>
    </row>
    <row r="264" spans="1:54" ht="14.4" hidden="1" x14ac:dyDescent="0.3">
      <c r="A264" s="1" t="s">
        <v>294</v>
      </c>
      <c r="B264" s="124" t="s">
        <v>282</v>
      </c>
      <c r="C264" s="1" t="s">
        <v>56</v>
      </c>
      <c r="D264" s="1">
        <v>1</v>
      </c>
      <c r="E264" s="2">
        <v>1110</v>
      </c>
      <c r="F264" s="2">
        <v>5775</v>
      </c>
      <c r="G264" s="2">
        <v>140.005</v>
      </c>
      <c r="H264" s="2">
        <v>2203.0300000000002</v>
      </c>
      <c r="J264" s="1">
        <v>15650</v>
      </c>
      <c r="L264" s="3" t="s">
        <v>753</v>
      </c>
      <c r="M264" s="115">
        <v>45278</v>
      </c>
      <c r="V264" s="4">
        <v>6.41</v>
      </c>
      <c r="W264" s="4">
        <v>0.89200000000000002</v>
      </c>
      <c r="AD264" s="4" t="s">
        <v>359</v>
      </c>
      <c r="AF264" s="1" t="s">
        <v>710</v>
      </c>
      <c r="AG264" s="1" t="s">
        <v>707</v>
      </c>
      <c r="AL264" s="1" t="s">
        <v>708</v>
      </c>
      <c r="AM264" s="99">
        <v>45279</v>
      </c>
      <c r="AQ264" s="4">
        <v>19.03</v>
      </c>
      <c r="AR264" s="4" t="str">
        <f>IF(ISNA(MATCH($BA264,planas!$BA:$BA,0)),"ne","taip")</f>
        <v>ne</v>
      </c>
      <c r="BA264" s="1" t="s">
        <v>667</v>
      </c>
      <c r="BB264" s="1">
        <f>MOD(SUMPRODUCT(--($T$1:$T263&lt;&gt;$T$2:$T264)),2)</f>
        <v>0</v>
      </c>
    </row>
    <row r="265" spans="1:54" ht="14.4" hidden="1" x14ac:dyDescent="0.3">
      <c r="A265" s="1" t="s">
        <v>294</v>
      </c>
      <c r="B265" s="124" t="s">
        <v>186</v>
      </c>
      <c r="C265" s="1" t="s">
        <v>56</v>
      </c>
      <c r="D265" s="1">
        <v>1</v>
      </c>
      <c r="E265" s="2">
        <v>3630.0070000000001</v>
      </c>
      <c r="F265" s="2">
        <v>6609.9989999999998</v>
      </c>
      <c r="G265" s="2">
        <v>200.03700000000001</v>
      </c>
      <c r="H265" s="2">
        <v>10500.57</v>
      </c>
      <c r="J265" s="1">
        <v>14400</v>
      </c>
      <c r="L265" s="3" t="s">
        <v>754</v>
      </c>
      <c r="M265" s="115">
        <v>45271</v>
      </c>
      <c r="V265" s="4">
        <v>23.99</v>
      </c>
      <c r="W265" s="4">
        <v>4.282</v>
      </c>
      <c r="AD265" s="4" t="s">
        <v>277</v>
      </c>
      <c r="AF265" s="1" t="s">
        <v>710</v>
      </c>
      <c r="AG265" s="1" t="s">
        <v>710</v>
      </c>
      <c r="AL265" s="1" t="s">
        <v>708</v>
      </c>
      <c r="AM265" s="99">
        <v>45272</v>
      </c>
      <c r="AQ265" s="4">
        <v>50.963999999999999</v>
      </c>
      <c r="AR265" s="4" t="str">
        <f>IF(ISNA(MATCH($BA265,planas!$BA:$BA,0)),"ne","taip")</f>
        <v>ne</v>
      </c>
      <c r="BA265" s="1" t="s">
        <v>645</v>
      </c>
      <c r="BB265" s="1">
        <f>MOD(SUMPRODUCT(--($T$1:$T264&lt;&gt;$T$2:$T265)),2)</f>
        <v>0</v>
      </c>
    </row>
    <row r="266" spans="1:54" ht="14.4" hidden="1" x14ac:dyDescent="0.3">
      <c r="A266" s="1" t="s">
        <v>294</v>
      </c>
      <c r="B266" s="124" t="s">
        <v>516</v>
      </c>
      <c r="C266" s="1" t="s">
        <v>57</v>
      </c>
      <c r="D266" s="1">
        <v>1</v>
      </c>
      <c r="E266" s="2">
        <v>3270.0079999999998</v>
      </c>
      <c r="F266" s="2">
        <v>7775.0519999999997</v>
      </c>
      <c r="G266" s="2">
        <v>595.03</v>
      </c>
      <c r="H266" s="2">
        <v>9904.59</v>
      </c>
      <c r="J266" s="1">
        <v>8630</v>
      </c>
      <c r="L266" s="3" t="s">
        <v>348</v>
      </c>
      <c r="M266" s="115">
        <v>45236</v>
      </c>
      <c r="V266" s="4">
        <v>25.42</v>
      </c>
      <c r="W266" s="4">
        <v>3.8620000000000001</v>
      </c>
      <c r="AD266" s="4" t="s">
        <v>584</v>
      </c>
      <c r="AF266" s="1" t="s">
        <v>706</v>
      </c>
      <c r="AG266" s="1" t="s">
        <v>755</v>
      </c>
      <c r="AL266" s="1" t="s">
        <v>708</v>
      </c>
      <c r="AM266" s="99">
        <v>45237</v>
      </c>
      <c r="AP266" s="2">
        <v>2</v>
      </c>
      <c r="AQ266" s="4">
        <v>45.866</v>
      </c>
      <c r="AR266" s="4" t="str">
        <f>IF(ISNA(MATCH($BA266,planas!$BA:$BA,0)),"ne","taip")</f>
        <v>ne</v>
      </c>
      <c r="BA266" s="1" t="s">
        <v>515</v>
      </c>
      <c r="BB266" s="1">
        <f>MOD(SUMPRODUCT(--($T$1:$T265&lt;&gt;$T$2:$T266)),2)</f>
        <v>0</v>
      </c>
    </row>
    <row r="267" spans="1:54" ht="14.4" x14ac:dyDescent="0.3">
      <c r="A267" s="1" t="s">
        <v>294</v>
      </c>
      <c r="B267" s="124" t="s">
        <v>137</v>
      </c>
      <c r="C267" s="1" t="s">
        <v>56</v>
      </c>
      <c r="D267" s="1">
        <v>2</v>
      </c>
      <c r="E267" s="2">
        <v>3630</v>
      </c>
      <c r="F267" s="2">
        <v>1560</v>
      </c>
      <c r="G267" s="2">
        <v>200</v>
      </c>
      <c r="H267" s="2">
        <v>2771.74</v>
      </c>
      <c r="J267" s="1">
        <v>6360</v>
      </c>
      <c r="K267" s="3">
        <v>45159</v>
      </c>
      <c r="L267" s="3" t="s">
        <v>753</v>
      </c>
      <c r="M267" s="115">
        <v>45215</v>
      </c>
      <c r="V267" s="4">
        <v>5.66</v>
      </c>
      <c r="W267" s="4">
        <v>1.1240000000000001</v>
      </c>
      <c r="AC267" s="1">
        <v>3</v>
      </c>
      <c r="AD267" s="4" t="s">
        <v>277</v>
      </c>
      <c r="AF267" s="1" t="s">
        <v>711</v>
      </c>
      <c r="AG267" s="1" t="s">
        <v>710</v>
      </c>
      <c r="AL267" s="1" t="s">
        <v>765</v>
      </c>
      <c r="AM267" s="99">
        <v>45216</v>
      </c>
      <c r="AQ267" s="4">
        <v>23.03</v>
      </c>
      <c r="AR267" s="4" t="str">
        <f>IF(ISNA(MATCH($BA267,planas!$BA:$BA,0)),"ne","taip")</f>
        <v>ne</v>
      </c>
      <c r="BA267" s="1" t="s">
        <v>771</v>
      </c>
      <c r="BB267" s="1">
        <f>MOD(SUMPRODUCT(--($T$1:$T266&lt;&gt;$T$2:$T267)),2)</f>
        <v>0</v>
      </c>
    </row>
    <row r="268" spans="1:54" ht="14.4" hidden="1" x14ac:dyDescent="0.3">
      <c r="A268" s="1" t="s">
        <v>294</v>
      </c>
      <c r="B268" s="124" t="s">
        <v>267</v>
      </c>
      <c r="C268" s="1" t="s">
        <v>56</v>
      </c>
      <c r="D268" s="1">
        <v>4</v>
      </c>
      <c r="E268" s="2">
        <v>3130.0070000000001</v>
      </c>
      <c r="F268" s="2">
        <v>7810</v>
      </c>
      <c r="G268" s="2">
        <v>200.00299999999999</v>
      </c>
      <c r="H268" s="2">
        <v>11113.58</v>
      </c>
      <c r="J268" s="1">
        <v>10990</v>
      </c>
      <c r="L268" s="3" t="s">
        <v>753</v>
      </c>
      <c r="M268" s="115">
        <v>45247</v>
      </c>
      <c r="V268" s="4">
        <v>24.45</v>
      </c>
      <c r="W268" s="4">
        <v>4.5380000000000003</v>
      </c>
      <c r="AD268" s="4" t="s">
        <v>277</v>
      </c>
      <c r="AF268" s="1" t="s">
        <v>712</v>
      </c>
      <c r="AG268" s="1" t="s">
        <v>711</v>
      </c>
      <c r="AL268" s="1" t="s">
        <v>708</v>
      </c>
      <c r="AM268" s="99">
        <v>45250</v>
      </c>
      <c r="AQ268" s="4">
        <v>46.154000000000003</v>
      </c>
      <c r="AR268" s="4" t="str">
        <f>IF(ISNA(MATCH($BA268,planas!$BA:$BA,0)),"ne","taip")</f>
        <v>ne</v>
      </c>
      <c r="BA268" s="1" t="s">
        <v>425</v>
      </c>
      <c r="BB268" s="1">
        <f>MOD(SUMPRODUCT(--($T$1:$T267&lt;&gt;$T$2:$T268)),2)</f>
        <v>0</v>
      </c>
    </row>
    <row r="269" spans="1:54" ht="14.4" hidden="1" x14ac:dyDescent="0.3">
      <c r="A269" s="1" t="s">
        <v>294</v>
      </c>
      <c r="B269" s="124" t="s">
        <v>307</v>
      </c>
      <c r="C269" s="1" t="s">
        <v>57</v>
      </c>
      <c r="D269" s="1">
        <v>2</v>
      </c>
      <c r="E269" s="2">
        <v>3280.0010000000002</v>
      </c>
      <c r="F269" s="2">
        <v>8414.9989999999998</v>
      </c>
      <c r="G269" s="2">
        <v>595.02599999999995</v>
      </c>
      <c r="H269" s="2">
        <v>10403.700000000001</v>
      </c>
      <c r="J269" s="1">
        <v>12030</v>
      </c>
      <c r="L269" s="3" t="s">
        <v>348</v>
      </c>
      <c r="M269" s="115">
        <v>45254</v>
      </c>
      <c r="V269" s="4">
        <v>27.6</v>
      </c>
      <c r="W269" s="4">
        <v>4.1100000000000003</v>
      </c>
      <c r="AD269" s="4" t="s">
        <v>584</v>
      </c>
      <c r="AF269" s="1" t="s">
        <v>712</v>
      </c>
      <c r="AG269" s="1" t="s">
        <v>706</v>
      </c>
      <c r="AL269" s="1" t="s">
        <v>280</v>
      </c>
      <c r="AM269" s="99">
        <v>45257</v>
      </c>
      <c r="AP269" s="2">
        <v>1</v>
      </c>
      <c r="AQ269" s="4">
        <v>55.100999999999999</v>
      </c>
      <c r="AR269" s="4" t="str">
        <f>IF(ISNA(MATCH($BA269,planas!$BA:$BA,0)),"ne","taip")</f>
        <v>ne</v>
      </c>
      <c r="BA269" s="1" t="s">
        <v>598</v>
      </c>
      <c r="BB269" s="1">
        <f>MOD(SUMPRODUCT(--($T$1:$T268&lt;&gt;$T$2:$T269)),2)</f>
        <v>0</v>
      </c>
    </row>
    <row r="270" spans="1:54" ht="14.4" hidden="1" x14ac:dyDescent="0.3">
      <c r="A270" s="1" t="s">
        <v>294</v>
      </c>
      <c r="B270" s="124" t="s">
        <v>227</v>
      </c>
      <c r="C270" s="1" t="s">
        <v>56</v>
      </c>
      <c r="D270" s="1">
        <v>4</v>
      </c>
      <c r="E270" s="2">
        <v>2920.0149999999999</v>
      </c>
      <c r="F270" s="2">
        <v>5110</v>
      </c>
      <c r="G270" s="2">
        <v>200.00200000000001</v>
      </c>
      <c r="H270" s="2">
        <v>7269.44</v>
      </c>
      <c r="J270" s="1">
        <v>11000</v>
      </c>
      <c r="L270" s="3" t="s">
        <v>753</v>
      </c>
      <c r="M270" s="115">
        <v>45247</v>
      </c>
      <c r="V270" s="4">
        <v>14.92</v>
      </c>
      <c r="W270" s="4">
        <v>2.97</v>
      </c>
      <c r="AD270" s="4" t="s">
        <v>277</v>
      </c>
      <c r="AF270" s="1" t="s">
        <v>712</v>
      </c>
      <c r="AG270" s="1" t="s">
        <v>711</v>
      </c>
      <c r="AL270" s="1" t="s">
        <v>708</v>
      </c>
      <c r="AM270" s="99">
        <v>45250</v>
      </c>
      <c r="AQ270" s="4">
        <v>23.006</v>
      </c>
      <c r="AR270" s="4" t="str">
        <f>IF(ISNA(MATCH($BA270,planas!$BA:$BA,0)),"ne","taip")</f>
        <v>ne</v>
      </c>
      <c r="BA270" s="1" t="s">
        <v>443</v>
      </c>
      <c r="BB270" s="1">
        <f>MOD(SUMPRODUCT(--($T$1:$T269&lt;&gt;$T$2:$T270)),2)</f>
        <v>0</v>
      </c>
    </row>
    <row r="271" spans="1:54" ht="14.4" hidden="1" x14ac:dyDescent="0.3">
      <c r="A271" s="1" t="s">
        <v>294</v>
      </c>
      <c r="B271" s="124" t="s">
        <v>152</v>
      </c>
      <c r="C271" s="1" t="s">
        <v>56</v>
      </c>
      <c r="D271" s="1">
        <v>1</v>
      </c>
      <c r="E271" s="2">
        <v>3130.0010000000002</v>
      </c>
      <c r="F271" s="2">
        <v>5702.0240000000003</v>
      </c>
      <c r="G271" s="2">
        <v>200.029</v>
      </c>
      <c r="H271" s="2">
        <v>7502.89</v>
      </c>
      <c r="J271" s="1">
        <v>15480</v>
      </c>
      <c r="L271" s="3" t="s">
        <v>278</v>
      </c>
      <c r="M271" s="115">
        <v>45278</v>
      </c>
      <c r="V271" s="4">
        <v>17.850000000000001</v>
      </c>
      <c r="W271" s="4">
        <v>3.056</v>
      </c>
      <c r="AD271" s="4" t="s">
        <v>277</v>
      </c>
      <c r="AF271" s="1" t="s">
        <v>710</v>
      </c>
      <c r="AG271" s="1" t="s">
        <v>707</v>
      </c>
      <c r="AL271" s="1" t="s">
        <v>708</v>
      </c>
      <c r="AM271" s="99">
        <v>45279</v>
      </c>
      <c r="AQ271" s="4">
        <v>36.526000000000003</v>
      </c>
      <c r="AR271" s="4" t="str">
        <f>IF(ISNA(MATCH($BA271,planas!$BA:$BA,0)),"ne","taip")</f>
        <v>ne</v>
      </c>
      <c r="BA271" s="1" t="s">
        <v>675</v>
      </c>
      <c r="BB271" s="1">
        <f>MOD(SUMPRODUCT(--($T$1:$T270&lt;&gt;$T$2:$T271)),2)</f>
        <v>0</v>
      </c>
    </row>
    <row r="272" spans="1:54" ht="14.4" hidden="1" x14ac:dyDescent="0.3">
      <c r="A272" s="1" t="s">
        <v>294</v>
      </c>
      <c r="B272" s="124" t="s">
        <v>146</v>
      </c>
      <c r="C272" s="1" t="s">
        <v>56</v>
      </c>
      <c r="D272" s="1">
        <v>4</v>
      </c>
      <c r="E272" s="2">
        <v>2920.0070000000001</v>
      </c>
      <c r="F272" s="2">
        <v>2460</v>
      </c>
      <c r="G272" s="2">
        <v>200.00200000000001</v>
      </c>
      <c r="H272" s="2">
        <v>3385.18</v>
      </c>
      <c r="J272" s="1">
        <v>11020</v>
      </c>
      <c r="L272" s="3" t="s">
        <v>753</v>
      </c>
      <c r="M272" s="115">
        <v>45250</v>
      </c>
      <c r="V272" s="4">
        <v>7.18</v>
      </c>
      <c r="W272" s="4">
        <v>1.375</v>
      </c>
      <c r="AD272" s="4" t="s">
        <v>277</v>
      </c>
      <c r="AF272" s="1" t="s">
        <v>712</v>
      </c>
      <c r="AG272" s="1" t="s">
        <v>711</v>
      </c>
      <c r="AL272" s="1" t="s">
        <v>708</v>
      </c>
      <c r="AM272" s="99">
        <v>45251</v>
      </c>
      <c r="AQ272" s="4">
        <v>31.152999999999999</v>
      </c>
      <c r="AR272" s="4" t="str">
        <f>IF(ISNA(MATCH($BA272,planas!$BA:$BA,0)),"ne","taip")</f>
        <v>ne</v>
      </c>
      <c r="BA272" s="1" t="s">
        <v>402</v>
      </c>
      <c r="BB272" s="1">
        <f>MOD(SUMPRODUCT(--($T$1:$T271&lt;&gt;$T$2:$T272)),2)</f>
        <v>0</v>
      </c>
    </row>
    <row r="273" spans="1:54" ht="14.4" hidden="1" x14ac:dyDescent="0.3">
      <c r="A273" s="1" t="s">
        <v>294</v>
      </c>
      <c r="B273" s="124" t="s">
        <v>267</v>
      </c>
      <c r="C273" s="1" t="s">
        <v>56</v>
      </c>
      <c r="D273" s="1">
        <v>4</v>
      </c>
      <c r="E273" s="2">
        <v>3130.0070000000001</v>
      </c>
      <c r="F273" s="2">
        <v>7810</v>
      </c>
      <c r="G273" s="2">
        <v>200.00299999999999</v>
      </c>
      <c r="H273" s="2">
        <v>11113.58</v>
      </c>
      <c r="J273" s="1">
        <v>12130</v>
      </c>
      <c r="L273" s="3" t="s">
        <v>753</v>
      </c>
      <c r="M273" s="115">
        <v>45254</v>
      </c>
      <c r="V273" s="4">
        <v>24.45</v>
      </c>
      <c r="W273" s="4">
        <v>4.5380000000000003</v>
      </c>
      <c r="AD273" s="4" t="s">
        <v>277</v>
      </c>
      <c r="AF273" s="1" t="s">
        <v>712</v>
      </c>
      <c r="AG273" s="1" t="s">
        <v>706</v>
      </c>
      <c r="AL273" s="1" t="s">
        <v>708</v>
      </c>
      <c r="AM273" s="99">
        <v>45257</v>
      </c>
      <c r="AQ273" s="4">
        <v>46.154000000000003</v>
      </c>
      <c r="AR273" s="4" t="str">
        <f>IF(ISNA(MATCH($BA273,planas!$BA:$BA,0)),"ne","taip")</f>
        <v>ne</v>
      </c>
      <c r="BA273" s="1" t="s">
        <v>464</v>
      </c>
      <c r="BB273" s="1">
        <f>MOD(SUMPRODUCT(--($T$1:$T272&lt;&gt;$T$2:$T273)),2)</f>
        <v>0</v>
      </c>
    </row>
    <row r="274" spans="1:54" ht="14.4" hidden="1" x14ac:dyDescent="0.3">
      <c r="A274" s="1" t="s">
        <v>294</v>
      </c>
      <c r="B274" s="124" t="s">
        <v>316</v>
      </c>
      <c r="C274" s="1" t="s">
        <v>57</v>
      </c>
      <c r="D274" s="1">
        <v>3</v>
      </c>
      <c r="E274" s="2">
        <v>3280.0010000000002</v>
      </c>
      <c r="F274" s="2">
        <v>6160.0060000000003</v>
      </c>
      <c r="G274" s="2">
        <v>595.01700000000005</v>
      </c>
      <c r="H274" s="2">
        <v>9592.17</v>
      </c>
      <c r="J274" s="1">
        <v>13220</v>
      </c>
      <c r="L274" s="3" t="s">
        <v>349</v>
      </c>
      <c r="M274" s="115">
        <v>45261</v>
      </c>
      <c r="V274" s="4">
        <v>20.2</v>
      </c>
      <c r="W274" s="4">
        <v>3.802</v>
      </c>
      <c r="AD274" s="4" t="s">
        <v>584</v>
      </c>
      <c r="AF274" s="1" t="s">
        <v>710</v>
      </c>
      <c r="AG274" s="1" t="s">
        <v>712</v>
      </c>
      <c r="AL274" s="1" t="s">
        <v>708</v>
      </c>
      <c r="AM274" s="99">
        <v>45264</v>
      </c>
      <c r="AQ274" s="4">
        <v>65.738</v>
      </c>
      <c r="AR274" s="4" t="str">
        <f>IF(ISNA(MATCH($BA274,planas!$BA:$BA,0)),"ne","taip")</f>
        <v>ne</v>
      </c>
      <c r="BA274" s="1" t="s">
        <v>616</v>
      </c>
      <c r="BB274" s="1">
        <f>MOD(SUMPRODUCT(--($T$1:$T273&lt;&gt;$T$2:$T274)),2)</f>
        <v>0</v>
      </c>
    </row>
    <row r="275" spans="1:54" ht="14.4" hidden="1" x14ac:dyDescent="0.3">
      <c r="A275" s="1" t="s">
        <v>294</v>
      </c>
      <c r="B275" s="124" t="s">
        <v>292</v>
      </c>
      <c r="C275" s="1" t="s">
        <v>56</v>
      </c>
      <c r="D275" s="1">
        <v>1</v>
      </c>
      <c r="E275" s="2">
        <v>1110</v>
      </c>
      <c r="F275" s="2">
        <v>6210</v>
      </c>
      <c r="G275" s="2">
        <v>140</v>
      </c>
      <c r="H275" s="2">
        <v>2379.44</v>
      </c>
      <c r="J275" s="1">
        <v>15610</v>
      </c>
      <c r="L275" s="3" t="s">
        <v>753</v>
      </c>
      <c r="M275" s="115">
        <v>45278</v>
      </c>
      <c r="V275" s="4">
        <v>6.89</v>
      </c>
      <c r="W275" s="4">
        <v>0.96199999999999997</v>
      </c>
      <c r="AD275" s="4" t="s">
        <v>359</v>
      </c>
      <c r="AF275" s="1" t="s">
        <v>710</v>
      </c>
      <c r="AG275" s="1" t="s">
        <v>707</v>
      </c>
      <c r="AL275" s="1" t="s">
        <v>708</v>
      </c>
      <c r="AM275" s="99">
        <v>45279</v>
      </c>
      <c r="AQ275" s="4">
        <v>20.59</v>
      </c>
      <c r="AR275" s="4" t="str">
        <f>IF(ISNA(MATCH($BA275,planas!$BA:$BA,0)),"ne","taip")</f>
        <v>ne</v>
      </c>
      <c r="BA275" s="1" t="s">
        <v>669</v>
      </c>
      <c r="BB275" s="1">
        <f>MOD(SUMPRODUCT(--($T$1:$T274&lt;&gt;$T$2:$T275)),2)</f>
        <v>0</v>
      </c>
    </row>
    <row r="276" spans="1:54" ht="14.4" hidden="1" x14ac:dyDescent="0.3">
      <c r="A276" s="1" t="s">
        <v>294</v>
      </c>
      <c r="B276" s="124" t="s">
        <v>520</v>
      </c>
      <c r="C276" s="1" t="s">
        <v>57</v>
      </c>
      <c r="D276" s="1">
        <v>1</v>
      </c>
      <c r="E276" s="2">
        <v>3275.0070000000001</v>
      </c>
      <c r="F276" s="2">
        <v>8510.7980000000007</v>
      </c>
      <c r="G276" s="2">
        <v>595</v>
      </c>
      <c r="H276" s="2">
        <v>9618.09</v>
      </c>
      <c r="J276" s="1">
        <v>8570</v>
      </c>
      <c r="L276" s="3" t="s">
        <v>349</v>
      </c>
      <c r="M276" s="115">
        <v>45233</v>
      </c>
      <c r="V276" s="4">
        <v>27.87</v>
      </c>
      <c r="W276" s="4">
        <v>3.7589999999999999</v>
      </c>
      <c r="AD276" s="4" t="s">
        <v>744</v>
      </c>
      <c r="AF276" s="1" t="s">
        <v>706</v>
      </c>
      <c r="AG276" s="1" t="s">
        <v>755</v>
      </c>
      <c r="AL276" s="1" t="s">
        <v>280</v>
      </c>
      <c r="AM276" s="99">
        <v>45236</v>
      </c>
      <c r="AP276" s="2">
        <v>3</v>
      </c>
      <c r="AQ276" s="4">
        <v>81.41</v>
      </c>
      <c r="AR276" s="4" t="str">
        <f>IF(ISNA(MATCH($BA276,planas!$BA:$BA,0)),"ne","taip")</f>
        <v>ne</v>
      </c>
      <c r="BA276" s="1" t="s">
        <v>519</v>
      </c>
      <c r="BB276" s="1">
        <f>MOD(SUMPRODUCT(--($T$1:$T275&lt;&gt;$T$2:$T276)),2)</f>
        <v>0</v>
      </c>
    </row>
    <row r="277" spans="1:54" ht="14.4" hidden="1" x14ac:dyDescent="0.3">
      <c r="A277" s="1" t="s">
        <v>294</v>
      </c>
      <c r="B277" s="124" t="s">
        <v>260</v>
      </c>
      <c r="C277" s="1" t="s">
        <v>56</v>
      </c>
      <c r="D277" s="1">
        <v>1</v>
      </c>
      <c r="E277" s="2">
        <v>3130</v>
      </c>
      <c r="F277" s="2">
        <v>2531</v>
      </c>
      <c r="G277" s="2">
        <v>200</v>
      </c>
      <c r="H277" s="2">
        <v>3660.73</v>
      </c>
      <c r="J277" s="1">
        <v>15530</v>
      </c>
      <c r="L277" s="3" t="s">
        <v>278</v>
      </c>
      <c r="M277" s="115">
        <v>45278</v>
      </c>
      <c r="V277" s="4">
        <v>7.92</v>
      </c>
      <c r="W277" s="4">
        <v>1.496</v>
      </c>
      <c r="AD277" s="4" t="s">
        <v>277</v>
      </c>
      <c r="AF277" s="1" t="s">
        <v>710</v>
      </c>
      <c r="AG277" s="1" t="s">
        <v>707</v>
      </c>
      <c r="AL277" s="1" t="s">
        <v>708</v>
      </c>
      <c r="AM277" s="99">
        <v>45279</v>
      </c>
      <c r="AQ277" s="4">
        <v>10.656000000000001</v>
      </c>
      <c r="AR277" s="4" t="str">
        <f>IF(ISNA(MATCH($BA277,planas!$BA:$BA,0)),"ne","taip")</f>
        <v>ne</v>
      </c>
      <c r="BA277" s="1" t="s">
        <v>501</v>
      </c>
      <c r="BB277" s="1">
        <f>MOD(SUMPRODUCT(--($T$1:$T276&lt;&gt;$T$2:$T277)),2)</f>
        <v>0</v>
      </c>
    </row>
    <row r="278" spans="1:54" ht="14.4" hidden="1" x14ac:dyDescent="0.3">
      <c r="A278" s="1" t="s">
        <v>294</v>
      </c>
      <c r="B278" s="124" t="s">
        <v>211</v>
      </c>
      <c r="C278" s="1" t="s">
        <v>56</v>
      </c>
      <c r="D278" s="1">
        <v>4</v>
      </c>
      <c r="E278" s="2">
        <v>3130</v>
      </c>
      <c r="F278" s="2">
        <v>1560</v>
      </c>
      <c r="G278" s="2">
        <v>200</v>
      </c>
      <c r="H278" s="2">
        <v>2369.6799999999998</v>
      </c>
      <c r="J278" s="1">
        <v>10090</v>
      </c>
      <c r="L278" s="3" t="s">
        <v>753</v>
      </c>
      <c r="M278" s="115">
        <v>45244</v>
      </c>
      <c r="V278" s="4">
        <v>4.88</v>
      </c>
      <c r="W278" s="4">
        <v>0.96899999999999997</v>
      </c>
      <c r="AD278" s="4" t="s">
        <v>277</v>
      </c>
      <c r="AF278" s="1" t="s">
        <v>706</v>
      </c>
      <c r="AG278" s="1" t="s">
        <v>713</v>
      </c>
      <c r="AL278" s="1" t="s">
        <v>708</v>
      </c>
      <c r="AM278" s="99">
        <v>45245</v>
      </c>
      <c r="AQ278" s="4">
        <v>5.7160000000000002</v>
      </c>
      <c r="AR278" s="4" t="str">
        <f>IF(ISNA(MATCH($BA278,planas!$BA:$BA,0)),"ne","taip")</f>
        <v>ne</v>
      </c>
      <c r="BA278" s="1" t="s">
        <v>488</v>
      </c>
      <c r="BB278" s="1">
        <f>MOD(SUMPRODUCT(--($T$1:$T277&lt;&gt;$T$2:$T278)),2)</f>
        <v>0</v>
      </c>
    </row>
    <row r="279" spans="1:54" ht="14.4" hidden="1" x14ac:dyDescent="0.3">
      <c r="A279" s="1" t="s">
        <v>294</v>
      </c>
      <c r="B279" s="124" t="s">
        <v>330</v>
      </c>
      <c r="C279" s="1" t="s">
        <v>57</v>
      </c>
      <c r="D279" s="1">
        <v>4</v>
      </c>
      <c r="E279" s="2">
        <v>3280.0219999999999</v>
      </c>
      <c r="F279" s="2">
        <v>6170.0129999999999</v>
      </c>
      <c r="G279" s="2">
        <v>595</v>
      </c>
      <c r="H279" s="2">
        <v>7075.69</v>
      </c>
      <c r="J279" s="1">
        <v>13190</v>
      </c>
      <c r="L279" s="3" t="s">
        <v>348</v>
      </c>
      <c r="M279" s="115">
        <v>45261</v>
      </c>
      <c r="V279" s="4">
        <v>20.239999999999998</v>
      </c>
      <c r="W279" s="4">
        <v>2.8</v>
      </c>
      <c r="AD279" s="4" t="s">
        <v>584</v>
      </c>
      <c r="AF279" s="1" t="s">
        <v>710</v>
      </c>
      <c r="AG279" s="1" t="s">
        <v>712</v>
      </c>
      <c r="AL279" s="1" t="s">
        <v>708</v>
      </c>
      <c r="AM279" s="99">
        <v>45264</v>
      </c>
      <c r="AP279" s="2">
        <v>2</v>
      </c>
      <c r="AQ279" s="4">
        <v>33.588999999999999</v>
      </c>
      <c r="AR279" s="4" t="str">
        <f>IF(ISNA(MATCH($BA279,planas!$BA:$BA,0)),"ne","taip")</f>
        <v>ne</v>
      </c>
      <c r="BA279" s="1" t="s">
        <v>594</v>
      </c>
      <c r="BB279" s="1">
        <f>MOD(SUMPRODUCT(--($T$1:$T278&lt;&gt;$T$2:$T279)),2)</f>
        <v>0</v>
      </c>
    </row>
    <row r="280" spans="1:54" ht="14.4" hidden="1" x14ac:dyDescent="0.3">
      <c r="A280" s="1" t="s">
        <v>294</v>
      </c>
      <c r="B280" s="124" t="s">
        <v>187</v>
      </c>
      <c r="C280" s="1" t="s">
        <v>56</v>
      </c>
      <c r="D280" s="1">
        <v>4</v>
      </c>
      <c r="E280" s="2">
        <v>2920.0070000000001</v>
      </c>
      <c r="F280" s="2">
        <v>4145</v>
      </c>
      <c r="G280" s="2">
        <v>200.00299999999999</v>
      </c>
      <c r="H280" s="2">
        <v>5884.73</v>
      </c>
      <c r="J280" s="1">
        <v>11100</v>
      </c>
      <c r="L280" s="3" t="s">
        <v>753</v>
      </c>
      <c r="M280" s="115">
        <v>45250</v>
      </c>
      <c r="V280" s="4">
        <v>12.1</v>
      </c>
      <c r="W280" s="4">
        <v>2.4060000000000001</v>
      </c>
      <c r="AD280" s="4" t="s">
        <v>277</v>
      </c>
      <c r="AF280" s="1" t="s">
        <v>712</v>
      </c>
      <c r="AG280" s="1" t="s">
        <v>711</v>
      </c>
      <c r="AL280" s="1" t="s">
        <v>708</v>
      </c>
      <c r="AM280" s="99">
        <v>45251</v>
      </c>
      <c r="AQ280" s="4">
        <v>16.251000000000001</v>
      </c>
      <c r="AR280" s="4" t="str">
        <f>IF(ISNA(MATCH($BA280,planas!$BA:$BA,0)),"ne","taip")</f>
        <v>ne</v>
      </c>
      <c r="BA280" s="1" t="s">
        <v>414</v>
      </c>
      <c r="BB280" s="1">
        <f>MOD(SUMPRODUCT(--($T$1:$T279&lt;&gt;$T$2:$T280)),2)</f>
        <v>0</v>
      </c>
    </row>
    <row r="281" spans="1:54" ht="14.4" hidden="1" x14ac:dyDescent="0.3">
      <c r="A281" s="1" t="s">
        <v>294</v>
      </c>
      <c r="B281" s="124" t="s">
        <v>147</v>
      </c>
      <c r="C281" s="1" t="s">
        <v>56</v>
      </c>
      <c r="D281" s="1">
        <v>3</v>
      </c>
      <c r="E281" s="2">
        <v>2920.0149999999999</v>
      </c>
      <c r="F281" s="2">
        <v>2380.0010000000002</v>
      </c>
      <c r="G281" s="2">
        <v>200.03899999999999</v>
      </c>
      <c r="H281" s="2">
        <v>2305.7199999999998</v>
      </c>
      <c r="J281" s="1">
        <v>13330</v>
      </c>
      <c r="L281" s="3" t="s">
        <v>753</v>
      </c>
      <c r="M281" s="115">
        <v>45264</v>
      </c>
      <c r="V281" s="4">
        <v>6.95</v>
      </c>
      <c r="W281" s="4">
        <v>0.91800000000000004</v>
      </c>
      <c r="AD281" s="4" t="s">
        <v>277</v>
      </c>
      <c r="AF281" s="1" t="s">
        <v>710</v>
      </c>
      <c r="AG281" s="1" t="s">
        <v>712</v>
      </c>
      <c r="AL281" s="1" t="s">
        <v>708</v>
      </c>
      <c r="AM281" s="99">
        <v>45265</v>
      </c>
      <c r="AP281" s="2">
        <v>2</v>
      </c>
      <c r="AQ281" s="4">
        <v>14.186999999999999</v>
      </c>
      <c r="AR281" s="4" t="str">
        <f>IF(ISNA(MATCH($BA281,planas!$BA:$BA,0)),"ne","taip")</f>
        <v>ne</v>
      </c>
      <c r="BA281" s="1" t="s">
        <v>424</v>
      </c>
      <c r="BB281" s="1">
        <f>MOD(SUMPRODUCT(--($T$1:$T280&lt;&gt;$T$2:$T281)),2)</f>
        <v>0</v>
      </c>
    </row>
    <row r="282" spans="1:54" ht="14.4" hidden="1" x14ac:dyDescent="0.3">
      <c r="A282" s="1" t="s">
        <v>294</v>
      </c>
      <c r="B282" s="124" t="s">
        <v>211</v>
      </c>
      <c r="C282" s="1" t="s">
        <v>56</v>
      </c>
      <c r="D282" s="1">
        <v>4</v>
      </c>
      <c r="E282" s="2">
        <v>3130</v>
      </c>
      <c r="F282" s="2">
        <v>1560</v>
      </c>
      <c r="G282" s="2">
        <v>200</v>
      </c>
      <c r="H282" s="2">
        <v>2369.6799999999998</v>
      </c>
      <c r="J282" s="1">
        <v>12340</v>
      </c>
      <c r="L282" s="3" t="s">
        <v>753</v>
      </c>
      <c r="M282" s="115">
        <v>45257</v>
      </c>
      <c r="V282" s="4">
        <v>4.88</v>
      </c>
      <c r="W282" s="4">
        <v>0.96899999999999997</v>
      </c>
      <c r="AD282" s="4" t="s">
        <v>277</v>
      </c>
      <c r="AF282" s="1" t="s">
        <v>712</v>
      </c>
      <c r="AG282" s="1" t="s">
        <v>706</v>
      </c>
      <c r="AL282" s="1" t="s">
        <v>708</v>
      </c>
      <c r="AM282" s="99">
        <v>45258</v>
      </c>
      <c r="AQ282" s="4">
        <v>5.7160000000000002</v>
      </c>
      <c r="AR282" s="4" t="str">
        <f>IF(ISNA(MATCH($BA282,planas!$BA:$BA,0)),"ne","taip")</f>
        <v>ne</v>
      </c>
      <c r="BA282" s="1" t="s">
        <v>401</v>
      </c>
      <c r="BB282" s="1">
        <f>MOD(SUMPRODUCT(--($T$1:$T281&lt;&gt;$T$2:$T282)),2)</f>
        <v>0</v>
      </c>
    </row>
    <row r="283" spans="1:54" ht="14.4" hidden="1" x14ac:dyDescent="0.3">
      <c r="A283" s="1" t="s">
        <v>294</v>
      </c>
      <c r="B283" s="124" t="s">
        <v>203</v>
      </c>
      <c r="C283" s="1" t="s">
        <v>56</v>
      </c>
      <c r="D283" s="1">
        <v>4</v>
      </c>
      <c r="E283" s="2">
        <v>2920.0070000000001</v>
      </c>
      <c r="F283" s="2">
        <v>4560</v>
      </c>
      <c r="G283" s="2">
        <v>200.04</v>
      </c>
      <c r="H283" s="2">
        <v>6370.73</v>
      </c>
      <c r="J283" s="1">
        <v>13380</v>
      </c>
      <c r="L283" s="3" t="s">
        <v>753</v>
      </c>
      <c r="M283" s="115">
        <v>45264</v>
      </c>
      <c r="V283" s="4">
        <v>13.32</v>
      </c>
      <c r="W283" s="4">
        <v>2.5920000000000001</v>
      </c>
      <c r="AD283" s="4" t="s">
        <v>277</v>
      </c>
      <c r="AF283" s="1" t="s">
        <v>710</v>
      </c>
      <c r="AG283" s="1" t="s">
        <v>712</v>
      </c>
      <c r="AL283" s="1" t="s">
        <v>708</v>
      </c>
      <c r="AM283" s="99">
        <v>45265</v>
      </c>
      <c r="AQ283" s="4">
        <v>45.067999999999998</v>
      </c>
      <c r="AR283" s="4" t="str">
        <f>IF(ISNA(MATCH($BA283,planas!$BA:$BA,0)),"ne","taip")</f>
        <v>ne</v>
      </c>
      <c r="BA283" s="1" t="s">
        <v>483</v>
      </c>
      <c r="BB283" s="1">
        <f>MOD(SUMPRODUCT(--($T$1:$T282&lt;&gt;$T$2:$T283)),2)</f>
        <v>0</v>
      </c>
    </row>
    <row r="284" spans="1:54" ht="14.4" hidden="1" x14ac:dyDescent="0.3">
      <c r="A284" s="1" t="s">
        <v>294</v>
      </c>
      <c r="B284" s="124" t="s">
        <v>212</v>
      </c>
      <c r="C284" s="1" t="s">
        <v>56</v>
      </c>
      <c r="D284" s="1">
        <v>4</v>
      </c>
      <c r="E284" s="2">
        <v>3130</v>
      </c>
      <c r="F284" s="2">
        <v>1560</v>
      </c>
      <c r="G284" s="2">
        <v>200</v>
      </c>
      <c r="H284" s="2">
        <v>2369.6799999999998</v>
      </c>
      <c r="J284" s="1">
        <v>13450</v>
      </c>
      <c r="L284" s="3" t="s">
        <v>753</v>
      </c>
      <c r="M284" s="115">
        <v>45264</v>
      </c>
      <c r="V284" s="4">
        <v>4.88</v>
      </c>
      <c r="W284" s="4">
        <v>0.96899999999999997</v>
      </c>
      <c r="AD284" s="4" t="s">
        <v>277</v>
      </c>
      <c r="AF284" s="1" t="s">
        <v>710</v>
      </c>
      <c r="AG284" s="1" t="s">
        <v>712</v>
      </c>
      <c r="AL284" s="1" t="s">
        <v>708</v>
      </c>
      <c r="AM284" s="99">
        <v>45265</v>
      </c>
      <c r="AQ284" s="4">
        <v>5.7160000000000002</v>
      </c>
      <c r="AR284" s="4" t="str">
        <f>IF(ISNA(MATCH($BA284,planas!$BA:$BA,0)),"ne","taip")</f>
        <v>ne</v>
      </c>
      <c r="BA284" s="1" t="s">
        <v>458</v>
      </c>
      <c r="BB284" s="1">
        <f>MOD(SUMPRODUCT(--($T$1:$T283&lt;&gt;$T$2:$T284)),2)</f>
        <v>0</v>
      </c>
    </row>
    <row r="285" spans="1:54" ht="14.4" hidden="1" x14ac:dyDescent="0.3">
      <c r="A285" s="1" t="s">
        <v>294</v>
      </c>
      <c r="B285" s="124" t="s">
        <v>269</v>
      </c>
      <c r="C285" s="1" t="s">
        <v>56</v>
      </c>
      <c r="D285" s="1">
        <v>4</v>
      </c>
      <c r="E285" s="2">
        <v>2920</v>
      </c>
      <c r="F285" s="2">
        <v>2531</v>
      </c>
      <c r="G285" s="2">
        <v>200.001</v>
      </c>
      <c r="H285" s="2">
        <v>3588.59</v>
      </c>
      <c r="J285" s="1">
        <v>12310</v>
      </c>
      <c r="L285" s="3" t="s">
        <v>278</v>
      </c>
      <c r="M285" s="115">
        <v>45257</v>
      </c>
      <c r="V285" s="4">
        <v>7.39</v>
      </c>
      <c r="W285" s="4">
        <v>1.4670000000000001</v>
      </c>
      <c r="AD285" s="4" t="s">
        <v>277</v>
      </c>
      <c r="AF285" s="1" t="s">
        <v>712</v>
      </c>
      <c r="AG285" s="1" t="s">
        <v>706</v>
      </c>
      <c r="AL285" s="1" t="s">
        <v>708</v>
      </c>
      <c r="AM285" s="99">
        <v>45258</v>
      </c>
      <c r="AQ285" s="4">
        <v>10.656000000000001</v>
      </c>
      <c r="AR285" s="4" t="str">
        <f>IF(ISNA(MATCH($BA285,planas!$BA:$BA,0)),"ne","taip")</f>
        <v>ne</v>
      </c>
      <c r="BA285" s="1" t="s">
        <v>477</v>
      </c>
      <c r="BB285" s="1">
        <f>MOD(SUMPRODUCT(--($T$1:$T284&lt;&gt;$T$2:$T285)),2)</f>
        <v>0</v>
      </c>
    </row>
    <row r="286" spans="1:54" ht="14.4" hidden="1" x14ac:dyDescent="0.3">
      <c r="A286" s="1" t="s">
        <v>294</v>
      </c>
      <c r="B286" s="124" t="s">
        <v>276</v>
      </c>
      <c r="C286" s="1" t="s">
        <v>56</v>
      </c>
      <c r="D286" s="1">
        <v>1</v>
      </c>
      <c r="E286" s="2">
        <v>2910</v>
      </c>
      <c r="F286" s="2">
        <v>2531</v>
      </c>
      <c r="G286" s="2">
        <v>200.001</v>
      </c>
      <c r="H286" s="2">
        <v>3579.48</v>
      </c>
      <c r="J286" s="1">
        <v>8950</v>
      </c>
      <c r="L286" s="3" t="s">
        <v>278</v>
      </c>
      <c r="M286" s="115">
        <v>45237</v>
      </c>
      <c r="V286" s="4">
        <v>7.37</v>
      </c>
      <c r="W286" s="4">
        <v>1.462</v>
      </c>
      <c r="AD286" s="4" t="s">
        <v>277</v>
      </c>
      <c r="AF286" s="1" t="s">
        <v>706</v>
      </c>
      <c r="AG286" s="1" t="s">
        <v>755</v>
      </c>
      <c r="AL286" s="1" t="s">
        <v>708</v>
      </c>
      <c r="AM286" s="99">
        <v>45238</v>
      </c>
      <c r="AQ286" s="4">
        <v>13.715999999999999</v>
      </c>
      <c r="AR286" s="4" t="str">
        <f>IF(ISNA(MATCH($BA286,planas!$BA:$BA,0)),"ne","taip")</f>
        <v>ne</v>
      </c>
      <c r="BA286" s="1" t="s">
        <v>514</v>
      </c>
      <c r="BB286" s="1">
        <f>MOD(SUMPRODUCT(--($T$1:$T285&lt;&gt;$T$2:$T286)),2)</f>
        <v>0</v>
      </c>
    </row>
    <row r="287" spans="1:54" ht="14.4" x14ac:dyDescent="0.3">
      <c r="A287" s="1" t="s">
        <v>294</v>
      </c>
      <c r="B287" s="124" t="s">
        <v>230</v>
      </c>
      <c r="C287" s="1" t="s">
        <v>56</v>
      </c>
      <c r="D287" s="1">
        <v>2</v>
      </c>
      <c r="E287" s="2">
        <v>3400.0010000000002</v>
      </c>
      <c r="F287" s="2">
        <v>2002</v>
      </c>
      <c r="G287" s="2">
        <v>200.001</v>
      </c>
      <c r="H287" s="2">
        <v>1989.91</v>
      </c>
      <c r="J287" s="1">
        <v>6330</v>
      </c>
      <c r="K287" s="3">
        <v>45159</v>
      </c>
      <c r="L287" s="3" t="s">
        <v>278</v>
      </c>
      <c r="M287" s="115">
        <v>45215</v>
      </c>
      <c r="V287" s="4">
        <v>6.81</v>
      </c>
      <c r="W287" s="4">
        <v>0.79700000000000004</v>
      </c>
      <c r="AC287" s="1">
        <v>3</v>
      </c>
      <c r="AD287" s="4" t="s">
        <v>277</v>
      </c>
      <c r="AF287" s="1" t="s">
        <v>711</v>
      </c>
      <c r="AG287" s="1" t="s">
        <v>710</v>
      </c>
      <c r="AL287" s="1" t="s">
        <v>708</v>
      </c>
      <c r="AM287" s="99">
        <v>45216</v>
      </c>
      <c r="AP287" s="2">
        <v>2</v>
      </c>
      <c r="AQ287" s="4">
        <v>9.8219999999999992</v>
      </c>
      <c r="AR287" s="4" t="str">
        <f>IF(ISNA(MATCH($BA287,planas!$BA:$BA,0)),"ne","taip")</f>
        <v>ne</v>
      </c>
      <c r="BA287" s="1" t="s">
        <v>767</v>
      </c>
      <c r="BB287" s="1">
        <f>MOD(SUMPRODUCT(--($T$1:$T286&lt;&gt;$T$2:$T287)),2)</f>
        <v>0</v>
      </c>
    </row>
    <row r="288" spans="1:54" ht="14.4" hidden="1" x14ac:dyDescent="0.3">
      <c r="A288" s="1" t="s">
        <v>294</v>
      </c>
      <c r="B288" s="124" t="s">
        <v>329</v>
      </c>
      <c r="C288" s="1" t="s">
        <v>57</v>
      </c>
      <c r="D288" s="1">
        <v>2</v>
      </c>
      <c r="E288" s="2">
        <v>3280.0010000000002</v>
      </c>
      <c r="F288" s="2">
        <v>3145.0230000000001</v>
      </c>
      <c r="G288" s="2">
        <v>595</v>
      </c>
      <c r="H288" s="2">
        <v>3794.8</v>
      </c>
      <c r="J288" s="1">
        <v>13120</v>
      </c>
      <c r="L288" s="3" t="s">
        <v>348</v>
      </c>
      <c r="M288" s="115">
        <v>45261</v>
      </c>
      <c r="V288" s="4">
        <v>10.32</v>
      </c>
      <c r="W288" s="4">
        <v>1.4950000000000001</v>
      </c>
      <c r="AD288" s="4" t="s">
        <v>584</v>
      </c>
      <c r="AF288" s="1" t="s">
        <v>710</v>
      </c>
      <c r="AG288" s="1" t="s">
        <v>712</v>
      </c>
      <c r="AL288" s="1" t="s">
        <v>708</v>
      </c>
      <c r="AM288" s="99">
        <v>45264</v>
      </c>
      <c r="AP288" s="2">
        <v>2</v>
      </c>
      <c r="AQ288" s="4">
        <v>25.131</v>
      </c>
      <c r="AR288" s="4" t="str">
        <f>IF(ISNA(MATCH($BA288,planas!$BA:$BA,0)),"ne","taip")</f>
        <v>ne</v>
      </c>
      <c r="BA288" s="1" t="s">
        <v>617</v>
      </c>
      <c r="BB288" s="1">
        <f>MOD(SUMPRODUCT(--($T$1:$T287&lt;&gt;$T$2:$T288)),2)</f>
        <v>0</v>
      </c>
    </row>
    <row r="289" spans="1:54" ht="14.4" hidden="1" x14ac:dyDescent="0.3">
      <c r="A289" s="1" t="s">
        <v>294</v>
      </c>
      <c r="B289" s="124" t="s">
        <v>223</v>
      </c>
      <c r="C289" s="1" t="s">
        <v>56</v>
      </c>
      <c r="D289" s="1">
        <v>1</v>
      </c>
      <c r="E289" s="2">
        <v>3120</v>
      </c>
      <c r="F289" s="2">
        <v>3351</v>
      </c>
      <c r="G289" s="2">
        <v>200.001</v>
      </c>
      <c r="H289" s="2">
        <v>2060.54</v>
      </c>
      <c r="J289" s="1">
        <v>8930</v>
      </c>
      <c r="L289" s="3" t="s">
        <v>278</v>
      </c>
      <c r="M289" s="115">
        <v>45237</v>
      </c>
      <c r="V289" s="4">
        <v>10.46</v>
      </c>
      <c r="W289" s="4">
        <v>0.82299999999999995</v>
      </c>
      <c r="AD289" s="4" t="s">
        <v>277</v>
      </c>
      <c r="AF289" s="1" t="s">
        <v>706</v>
      </c>
      <c r="AG289" s="1" t="s">
        <v>755</v>
      </c>
      <c r="AL289" s="1" t="s">
        <v>708</v>
      </c>
      <c r="AM289" s="99">
        <v>45238</v>
      </c>
      <c r="AP289" s="2">
        <v>2</v>
      </c>
      <c r="AQ289" s="4">
        <v>20.666</v>
      </c>
      <c r="AR289" s="4" t="str">
        <f>IF(ISNA(MATCH($BA289,planas!$BA:$BA,0)),"ne","taip")</f>
        <v>ne</v>
      </c>
      <c r="BA289" s="1" t="s">
        <v>539</v>
      </c>
      <c r="BB289" s="1">
        <f>MOD(SUMPRODUCT(--($T$1:$T288&lt;&gt;$T$2:$T289)),2)</f>
        <v>0</v>
      </c>
    </row>
    <row r="290" spans="1:54" ht="14.4" hidden="1" x14ac:dyDescent="0.3">
      <c r="A290" s="1" t="s">
        <v>294</v>
      </c>
      <c r="B290" s="124" t="s">
        <v>314</v>
      </c>
      <c r="C290" s="1" t="s">
        <v>57</v>
      </c>
      <c r="D290" s="1">
        <v>1</v>
      </c>
      <c r="E290" s="2">
        <v>3280.0010000000002</v>
      </c>
      <c r="F290" s="2">
        <v>7775.0519999999997</v>
      </c>
      <c r="G290" s="2">
        <v>595.03</v>
      </c>
      <c r="H290" s="2">
        <v>9768.5499999999993</v>
      </c>
      <c r="J290" s="1">
        <v>10880</v>
      </c>
      <c r="L290" s="3" t="s">
        <v>348</v>
      </c>
      <c r="M290" s="115">
        <v>45247</v>
      </c>
      <c r="V290" s="4">
        <v>25.5</v>
      </c>
      <c r="W290" s="4">
        <v>3.81</v>
      </c>
      <c r="AD290" s="4" t="s">
        <v>584</v>
      </c>
      <c r="AF290" s="1" t="s">
        <v>712</v>
      </c>
      <c r="AG290" s="1" t="s">
        <v>711</v>
      </c>
      <c r="AL290" s="1" t="s">
        <v>708</v>
      </c>
      <c r="AM290" s="99">
        <v>45250</v>
      </c>
      <c r="AP290" s="2">
        <v>2</v>
      </c>
      <c r="AQ290" s="4">
        <v>96.585999999999999</v>
      </c>
      <c r="AR290" s="4" t="str">
        <f>IF(ISNA(MATCH($BA290,planas!$BA:$BA,0)),"ne","taip")</f>
        <v>ne</v>
      </c>
      <c r="BA290" s="1" t="s">
        <v>557</v>
      </c>
      <c r="BB290" s="1">
        <f>MOD(SUMPRODUCT(--($T$1:$T289&lt;&gt;$T$2:$T290)),2)</f>
        <v>0</v>
      </c>
    </row>
    <row r="291" spans="1:54" ht="14.4" hidden="1" x14ac:dyDescent="0.3">
      <c r="A291" s="1" t="s">
        <v>294</v>
      </c>
      <c r="B291" s="124" t="s">
        <v>323</v>
      </c>
      <c r="C291" s="1" t="s">
        <v>57</v>
      </c>
      <c r="D291" s="1">
        <v>1</v>
      </c>
      <c r="E291" s="2">
        <v>3270.0219999999999</v>
      </c>
      <c r="F291" s="2">
        <v>6225.0119999999997</v>
      </c>
      <c r="G291" s="2">
        <v>595.00199999999995</v>
      </c>
      <c r="H291" s="2">
        <v>7226.73</v>
      </c>
      <c r="J291" s="1">
        <v>8690</v>
      </c>
      <c r="L291" s="3" t="s">
        <v>348</v>
      </c>
      <c r="M291" s="115">
        <v>45236</v>
      </c>
      <c r="V291" s="4">
        <v>20.36</v>
      </c>
      <c r="W291" s="4">
        <v>2.851</v>
      </c>
      <c r="AD291" s="4" t="s">
        <v>584</v>
      </c>
      <c r="AF291" s="1" t="s">
        <v>706</v>
      </c>
      <c r="AG291" s="1" t="s">
        <v>755</v>
      </c>
      <c r="AL291" s="1" t="s">
        <v>708</v>
      </c>
      <c r="AM291" s="99">
        <v>45237</v>
      </c>
      <c r="AP291" s="2">
        <v>2</v>
      </c>
      <c r="AQ291" s="4">
        <v>32.847999999999999</v>
      </c>
      <c r="AR291" s="4" t="str">
        <f>IF(ISNA(MATCH($BA291,planas!$BA:$BA,0)),"ne","taip")</f>
        <v>ne</v>
      </c>
      <c r="BA291" s="1" t="s">
        <v>527</v>
      </c>
      <c r="BB291" s="1">
        <f>MOD(SUMPRODUCT(--($T$1:$T290&lt;&gt;$T$2:$T291)),2)</f>
        <v>0</v>
      </c>
    </row>
    <row r="292" spans="1:54" ht="14.4" hidden="1" x14ac:dyDescent="0.3">
      <c r="A292" s="1" t="s">
        <v>294</v>
      </c>
      <c r="B292" s="124" t="s">
        <v>176</v>
      </c>
      <c r="C292" s="1" t="s">
        <v>56</v>
      </c>
      <c r="D292" s="1">
        <v>1</v>
      </c>
      <c r="E292" s="2">
        <v>3420.0070000000001</v>
      </c>
      <c r="F292" s="2">
        <v>3430</v>
      </c>
      <c r="G292" s="2">
        <v>200.006</v>
      </c>
      <c r="H292" s="2">
        <v>5703.15</v>
      </c>
      <c r="J292" s="1">
        <v>14500</v>
      </c>
      <c r="L292" s="3" t="s">
        <v>753</v>
      </c>
      <c r="M292" s="115">
        <v>45271</v>
      </c>
      <c r="V292" s="4">
        <v>11.73</v>
      </c>
      <c r="W292" s="4">
        <v>2.33</v>
      </c>
      <c r="AD292" s="4" t="s">
        <v>277</v>
      </c>
      <c r="AF292" s="1" t="s">
        <v>710</v>
      </c>
      <c r="AG292" s="1" t="s">
        <v>710</v>
      </c>
      <c r="AL292" s="1" t="s">
        <v>708</v>
      </c>
      <c r="AM292" s="99">
        <v>45272</v>
      </c>
      <c r="AQ292" s="4">
        <v>15.66</v>
      </c>
      <c r="AR292" s="4" t="str">
        <f>IF(ISNA(MATCH($BA292,planas!$BA:$BA,0)),"ne","taip")</f>
        <v>ne</v>
      </c>
      <c r="BA292" s="1" t="s">
        <v>639</v>
      </c>
      <c r="BB292" s="1">
        <f>MOD(SUMPRODUCT(--($T$1:$T291&lt;&gt;$T$2:$T292)),2)</f>
        <v>0</v>
      </c>
    </row>
    <row r="293" spans="1:54" ht="14.4" hidden="1" x14ac:dyDescent="0.3">
      <c r="A293" s="1" t="s">
        <v>294</v>
      </c>
      <c r="B293" s="124" t="s">
        <v>319</v>
      </c>
      <c r="C293" s="1" t="s">
        <v>57</v>
      </c>
      <c r="D293" s="1">
        <v>4</v>
      </c>
      <c r="E293" s="2">
        <v>3280.0210000000002</v>
      </c>
      <c r="F293" s="2">
        <v>5340.027</v>
      </c>
      <c r="G293" s="2">
        <v>595.01199999999994</v>
      </c>
      <c r="H293" s="2">
        <v>6757.62</v>
      </c>
      <c r="J293" s="1">
        <v>10910</v>
      </c>
      <c r="L293" s="3" t="s">
        <v>349</v>
      </c>
      <c r="M293" s="115">
        <v>45247</v>
      </c>
      <c r="V293" s="4">
        <v>17.52</v>
      </c>
      <c r="W293" s="4">
        <v>2.6760000000000002</v>
      </c>
      <c r="AD293" s="4" t="s">
        <v>584</v>
      </c>
      <c r="AF293" s="1" t="s">
        <v>712</v>
      </c>
      <c r="AG293" s="1" t="s">
        <v>711</v>
      </c>
      <c r="AL293" s="1" t="s">
        <v>708</v>
      </c>
      <c r="AM293" s="99">
        <v>45250</v>
      </c>
      <c r="AP293" s="2">
        <v>1</v>
      </c>
      <c r="AQ293" s="4">
        <v>17.542000000000002</v>
      </c>
      <c r="AR293" s="4" t="str">
        <f>IF(ISNA(MATCH($BA293,planas!$BA:$BA,0)),"ne","taip")</f>
        <v>ne</v>
      </c>
      <c r="BA293" s="1" t="s">
        <v>596</v>
      </c>
      <c r="BB293" s="1">
        <f>MOD(SUMPRODUCT(--($T$1:$T292&lt;&gt;$T$2:$T293)),2)</f>
        <v>0</v>
      </c>
    </row>
    <row r="294" spans="1:54" ht="14.4" hidden="1" x14ac:dyDescent="0.3">
      <c r="A294" s="1" t="s">
        <v>294</v>
      </c>
      <c r="B294" s="124" t="s">
        <v>344</v>
      </c>
      <c r="C294" s="1" t="s">
        <v>57</v>
      </c>
      <c r="D294" s="1">
        <v>2</v>
      </c>
      <c r="E294" s="2">
        <v>3130.0210000000002</v>
      </c>
      <c r="F294" s="2">
        <v>7134.9970000000003</v>
      </c>
      <c r="G294" s="2">
        <v>595</v>
      </c>
      <c r="H294" s="2">
        <v>8693.52</v>
      </c>
      <c r="J294" s="1">
        <v>15410</v>
      </c>
      <c r="L294" s="3" t="s">
        <v>348</v>
      </c>
      <c r="M294" s="115">
        <v>45275</v>
      </c>
      <c r="V294" s="4">
        <v>22.33</v>
      </c>
      <c r="W294" s="4">
        <v>3.4329999999999998</v>
      </c>
      <c r="AD294" s="4" t="s">
        <v>584</v>
      </c>
      <c r="AF294" s="1" t="s">
        <v>710</v>
      </c>
      <c r="AG294" s="1" t="s">
        <v>707</v>
      </c>
      <c r="AL294" s="1" t="s">
        <v>280</v>
      </c>
      <c r="AM294" s="99">
        <v>45278</v>
      </c>
      <c r="AP294" s="2">
        <v>2</v>
      </c>
      <c r="AQ294" s="4">
        <v>56.485999999999997</v>
      </c>
      <c r="AR294" s="4" t="str">
        <f>IF(ISNA(MATCH($BA294,planas!$BA:$BA,0)),"ne","taip")</f>
        <v>ne</v>
      </c>
      <c r="BA294" s="1" t="s">
        <v>648</v>
      </c>
      <c r="BB294" s="1">
        <f>MOD(SUMPRODUCT(--($T$1:$T293&lt;&gt;$T$2:$T294)),2)</f>
        <v>0</v>
      </c>
    </row>
    <row r="295" spans="1:54" ht="14.4" hidden="1" x14ac:dyDescent="0.3">
      <c r="A295" s="1" t="s">
        <v>294</v>
      </c>
      <c r="B295" s="124" t="s">
        <v>202</v>
      </c>
      <c r="C295" s="1" t="s">
        <v>56</v>
      </c>
      <c r="D295" s="1">
        <v>1</v>
      </c>
      <c r="E295" s="2">
        <v>3120</v>
      </c>
      <c r="F295" s="2">
        <v>2531</v>
      </c>
      <c r="G295" s="2">
        <v>200</v>
      </c>
      <c r="H295" s="2">
        <v>3836.05</v>
      </c>
      <c r="J295" s="1">
        <v>8940</v>
      </c>
      <c r="L295" s="3" t="s">
        <v>278</v>
      </c>
      <c r="M295" s="115">
        <v>45237</v>
      </c>
      <c r="V295" s="4">
        <v>7.9</v>
      </c>
      <c r="W295" s="4">
        <v>1.5680000000000001</v>
      </c>
      <c r="AD295" s="4" t="s">
        <v>277</v>
      </c>
      <c r="AF295" s="1" t="s">
        <v>706</v>
      </c>
      <c r="AG295" s="1" t="s">
        <v>755</v>
      </c>
      <c r="AL295" s="1" t="s">
        <v>708</v>
      </c>
      <c r="AM295" s="99">
        <v>45238</v>
      </c>
      <c r="AQ295" s="4">
        <v>13.715999999999999</v>
      </c>
      <c r="AR295" s="4" t="str">
        <f>IF(ISNA(MATCH($BA295,planas!$BA:$BA,0)),"ne","taip")</f>
        <v>ne</v>
      </c>
      <c r="BA295" s="1" t="s">
        <v>522</v>
      </c>
      <c r="BB295" s="1">
        <f>MOD(SUMPRODUCT(--($T$1:$T294&lt;&gt;$T$2:$T295)),2)</f>
        <v>0</v>
      </c>
    </row>
    <row r="296" spans="1:54" ht="14.4" hidden="1" x14ac:dyDescent="0.3">
      <c r="A296" s="1" t="s">
        <v>294</v>
      </c>
      <c r="B296" s="124" t="s">
        <v>330</v>
      </c>
      <c r="C296" s="1" t="s">
        <v>57</v>
      </c>
      <c r="D296" s="1">
        <v>4</v>
      </c>
      <c r="E296" s="2">
        <v>3280.0219999999999</v>
      </c>
      <c r="F296" s="2">
        <v>6170.0129999999999</v>
      </c>
      <c r="G296" s="2">
        <v>595</v>
      </c>
      <c r="H296" s="2">
        <v>7075.69</v>
      </c>
      <c r="J296" s="1">
        <v>12070</v>
      </c>
      <c r="L296" s="3" t="s">
        <v>348</v>
      </c>
      <c r="M296" s="115">
        <v>45254</v>
      </c>
      <c r="V296" s="4">
        <v>20.239999999999998</v>
      </c>
      <c r="W296" s="4">
        <v>2.8</v>
      </c>
      <c r="AD296" s="4" t="s">
        <v>584</v>
      </c>
      <c r="AF296" s="1" t="s">
        <v>712</v>
      </c>
      <c r="AG296" s="1" t="s">
        <v>706</v>
      </c>
      <c r="AL296" s="1" t="s">
        <v>708</v>
      </c>
      <c r="AM296" s="99">
        <v>45257</v>
      </c>
      <c r="AP296" s="2">
        <v>2</v>
      </c>
      <c r="AQ296" s="4">
        <v>33.588999999999999</v>
      </c>
      <c r="AR296" s="4" t="str">
        <f>IF(ISNA(MATCH($BA296,planas!$BA:$BA,0)),"ne","taip")</f>
        <v>ne</v>
      </c>
      <c r="BA296" s="1" t="s">
        <v>592</v>
      </c>
      <c r="BB296" s="1">
        <f>MOD(SUMPRODUCT(--($T$1:$T295&lt;&gt;$T$2:$T296)),2)</f>
        <v>0</v>
      </c>
    </row>
    <row r="297" spans="1:54" ht="14.4" hidden="1" x14ac:dyDescent="0.3">
      <c r="A297" s="1" t="s">
        <v>294</v>
      </c>
      <c r="B297" s="124" t="s">
        <v>145</v>
      </c>
      <c r="C297" s="1" t="s">
        <v>56</v>
      </c>
      <c r="D297" s="1">
        <v>3</v>
      </c>
      <c r="E297" s="2">
        <v>3130.0010000000002</v>
      </c>
      <c r="F297" s="2">
        <v>5481.0010000000002</v>
      </c>
      <c r="G297" s="2">
        <v>200.02500000000001</v>
      </c>
      <c r="H297" s="2">
        <v>7195.27</v>
      </c>
      <c r="J297" s="1">
        <v>11150</v>
      </c>
      <c r="L297" s="3" t="s">
        <v>278</v>
      </c>
      <c r="M297" s="115">
        <v>45250</v>
      </c>
      <c r="V297" s="4">
        <v>17.16</v>
      </c>
      <c r="W297" s="4">
        <v>2.931</v>
      </c>
      <c r="AD297" s="4" t="s">
        <v>277</v>
      </c>
      <c r="AF297" s="1" t="s">
        <v>712</v>
      </c>
      <c r="AG297" s="1" t="s">
        <v>711</v>
      </c>
      <c r="AL297" s="1" t="s">
        <v>708</v>
      </c>
      <c r="AM297" s="99">
        <v>45251</v>
      </c>
      <c r="AQ297" s="4">
        <v>33.822000000000003</v>
      </c>
      <c r="AR297" s="4" t="str">
        <f>IF(ISNA(MATCH($BA297,planas!$BA:$BA,0)),"ne","taip")</f>
        <v>ne</v>
      </c>
      <c r="BA297" s="1" t="s">
        <v>429</v>
      </c>
      <c r="BB297" s="1">
        <f>MOD(SUMPRODUCT(--($T$1:$T296&lt;&gt;$T$2:$T297)),2)</f>
        <v>0</v>
      </c>
    </row>
    <row r="298" spans="1:54" ht="14.4" hidden="1" x14ac:dyDescent="0.3">
      <c r="A298" s="1" t="s">
        <v>294</v>
      </c>
      <c r="B298" s="124" t="s">
        <v>267</v>
      </c>
      <c r="C298" s="1" t="s">
        <v>56</v>
      </c>
      <c r="D298" s="1">
        <v>4</v>
      </c>
      <c r="E298" s="2">
        <v>3130.0070000000001</v>
      </c>
      <c r="F298" s="2">
        <v>7810</v>
      </c>
      <c r="G298" s="2">
        <v>200.00299999999999</v>
      </c>
      <c r="H298" s="2">
        <v>11113.58</v>
      </c>
      <c r="J298" s="1">
        <v>9860</v>
      </c>
      <c r="L298" s="3" t="s">
        <v>753</v>
      </c>
      <c r="M298" s="115">
        <v>45243</v>
      </c>
      <c r="V298" s="4">
        <v>24.45</v>
      </c>
      <c r="W298" s="4">
        <v>4.5380000000000003</v>
      </c>
      <c r="AD298" s="4" t="s">
        <v>277</v>
      </c>
      <c r="AF298" s="1" t="s">
        <v>706</v>
      </c>
      <c r="AG298" s="1" t="s">
        <v>713</v>
      </c>
      <c r="AL298" s="1" t="s">
        <v>708</v>
      </c>
      <c r="AM298" s="99">
        <v>45244</v>
      </c>
      <c r="AQ298" s="4">
        <v>46.154000000000003</v>
      </c>
      <c r="AR298" s="4" t="str">
        <f>IF(ISNA(MATCH($BA298,planas!$BA:$BA,0)),"ne","taip")</f>
        <v>ne</v>
      </c>
      <c r="BA298" s="1" t="s">
        <v>444</v>
      </c>
      <c r="BB298" s="1">
        <f>MOD(SUMPRODUCT(--($T$1:$T297&lt;&gt;$T$2:$T298)),2)</f>
        <v>0</v>
      </c>
    </row>
    <row r="299" spans="1:54" ht="14.4" hidden="1" x14ac:dyDescent="0.3">
      <c r="A299" s="1" t="s">
        <v>294</v>
      </c>
      <c r="B299" s="124" t="s">
        <v>138</v>
      </c>
      <c r="C299" s="1" t="s">
        <v>56</v>
      </c>
      <c r="D299" s="1">
        <v>4</v>
      </c>
      <c r="E299" s="2">
        <v>3130.0070000000001</v>
      </c>
      <c r="F299" s="2">
        <v>4230</v>
      </c>
      <c r="G299" s="2">
        <v>200.03700000000001</v>
      </c>
      <c r="H299" s="2">
        <v>5199.1400000000003</v>
      </c>
      <c r="J299" s="1">
        <v>11040</v>
      </c>
      <c r="L299" s="3" t="s">
        <v>753</v>
      </c>
      <c r="M299" s="115">
        <v>45250</v>
      </c>
      <c r="V299" s="4">
        <v>13.24</v>
      </c>
      <c r="W299" s="4">
        <v>2.113</v>
      </c>
      <c r="AD299" s="4" t="s">
        <v>277</v>
      </c>
      <c r="AF299" s="1" t="s">
        <v>712</v>
      </c>
      <c r="AG299" s="1" t="s">
        <v>711</v>
      </c>
      <c r="AL299" s="1" t="s">
        <v>708</v>
      </c>
      <c r="AM299" s="99">
        <v>45251</v>
      </c>
      <c r="AQ299" s="4">
        <v>33.323</v>
      </c>
      <c r="AR299" s="4" t="str">
        <f>IF(ISNA(MATCH($BA299,planas!$BA:$BA,0)),"ne","taip")</f>
        <v>ne</v>
      </c>
      <c r="BA299" s="1" t="s">
        <v>456</v>
      </c>
      <c r="BB299" s="1">
        <f>MOD(SUMPRODUCT(--($T$1:$T298&lt;&gt;$T$2:$T299)),2)</f>
        <v>0</v>
      </c>
    </row>
    <row r="300" spans="1:54" ht="14.4" hidden="1" x14ac:dyDescent="0.3">
      <c r="A300" s="1" t="s">
        <v>294</v>
      </c>
      <c r="B300" s="124" t="s">
        <v>309</v>
      </c>
      <c r="C300" s="1" t="s">
        <v>57</v>
      </c>
      <c r="D300" s="1">
        <v>2</v>
      </c>
      <c r="E300" s="2">
        <v>3280.0070000000001</v>
      </c>
      <c r="F300" s="2">
        <v>6050.04</v>
      </c>
      <c r="G300" s="2">
        <v>595</v>
      </c>
      <c r="H300" s="2">
        <v>7917.53</v>
      </c>
      <c r="J300" s="1">
        <v>13210</v>
      </c>
      <c r="L300" s="3" t="s">
        <v>348</v>
      </c>
      <c r="M300" s="115">
        <v>45261</v>
      </c>
      <c r="V300" s="4">
        <v>19.84</v>
      </c>
      <c r="W300" s="4">
        <v>3.117</v>
      </c>
      <c r="AD300" s="4" t="s">
        <v>584</v>
      </c>
      <c r="AF300" s="1" t="s">
        <v>710</v>
      </c>
      <c r="AG300" s="1" t="s">
        <v>712</v>
      </c>
      <c r="AL300" s="1" t="s">
        <v>708</v>
      </c>
      <c r="AM300" s="99">
        <v>45264</v>
      </c>
      <c r="AP300" s="2">
        <v>3</v>
      </c>
      <c r="AQ300" s="4">
        <v>52.445</v>
      </c>
      <c r="AR300" s="4" t="str">
        <f>IF(ISNA(MATCH($BA300,planas!$BA:$BA,0)),"ne","taip")</f>
        <v>ne</v>
      </c>
      <c r="BA300" s="1" t="s">
        <v>615</v>
      </c>
      <c r="BB300" s="1">
        <f>MOD(SUMPRODUCT(--($T$1:$T299&lt;&gt;$T$2:$T300)),2)</f>
        <v>0</v>
      </c>
    </row>
    <row r="301" spans="1:54" ht="14.4" hidden="1" x14ac:dyDescent="0.3">
      <c r="A301" s="1" t="s">
        <v>294</v>
      </c>
      <c r="B301" s="124" t="s">
        <v>301</v>
      </c>
      <c r="C301" s="1" t="s">
        <v>57</v>
      </c>
      <c r="D301" s="1">
        <v>1</v>
      </c>
      <c r="E301" s="2">
        <v>3280.0010000000002</v>
      </c>
      <c r="F301" s="2">
        <v>7775.0519999999997</v>
      </c>
      <c r="G301" s="2">
        <v>595.03</v>
      </c>
      <c r="H301" s="2">
        <v>9768.5499999999993</v>
      </c>
      <c r="J301" s="1">
        <v>13130</v>
      </c>
      <c r="L301" s="3" t="s">
        <v>348</v>
      </c>
      <c r="M301" s="115">
        <v>45261</v>
      </c>
      <c r="V301" s="4">
        <v>25.5</v>
      </c>
      <c r="W301" s="4">
        <v>3.81</v>
      </c>
      <c r="AD301" s="4" t="s">
        <v>584</v>
      </c>
      <c r="AF301" s="1" t="s">
        <v>710</v>
      </c>
      <c r="AG301" s="1" t="s">
        <v>712</v>
      </c>
      <c r="AL301" s="1" t="s">
        <v>708</v>
      </c>
      <c r="AM301" s="99">
        <v>45264</v>
      </c>
      <c r="AP301" s="2">
        <v>2</v>
      </c>
      <c r="AQ301" s="4">
        <v>96.585999999999999</v>
      </c>
      <c r="AR301" s="4" t="str">
        <f>IF(ISNA(MATCH($BA301,planas!$BA:$BA,0)),"ne","taip")</f>
        <v>ne</v>
      </c>
      <c r="BA301" s="1" t="s">
        <v>562</v>
      </c>
      <c r="BB301" s="1">
        <f>MOD(SUMPRODUCT(--($T$1:$T300&lt;&gt;$T$2:$T301)),2)</f>
        <v>0</v>
      </c>
    </row>
    <row r="302" spans="1:54" ht="14.4" hidden="1" x14ac:dyDescent="0.3">
      <c r="A302" s="1" t="s">
        <v>294</v>
      </c>
      <c r="B302" s="124" t="s">
        <v>383</v>
      </c>
      <c r="C302" s="1" t="s">
        <v>57</v>
      </c>
      <c r="D302" s="1">
        <v>2</v>
      </c>
      <c r="E302" s="2">
        <v>3130.0030000000002</v>
      </c>
      <c r="F302" s="2">
        <v>3145.0230000000001</v>
      </c>
      <c r="G302" s="2">
        <v>595</v>
      </c>
      <c r="H302" s="2">
        <v>4039.44</v>
      </c>
      <c r="J302" s="1">
        <v>15350</v>
      </c>
      <c r="L302" s="3" t="s">
        <v>348</v>
      </c>
      <c r="M302" s="115">
        <v>45275</v>
      </c>
      <c r="V302" s="4">
        <v>9.84</v>
      </c>
      <c r="W302" s="4">
        <v>1.5880000000000001</v>
      </c>
      <c r="AD302" s="4" t="s">
        <v>584</v>
      </c>
      <c r="AF302" s="1" t="s">
        <v>710</v>
      </c>
      <c r="AG302" s="1" t="s">
        <v>707</v>
      </c>
      <c r="AL302" s="1" t="s">
        <v>708</v>
      </c>
      <c r="AM302" s="99">
        <v>45278</v>
      </c>
      <c r="AP302" s="2">
        <v>2</v>
      </c>
      <c r="AQ302" s="4">
        <v>30.715</v>
      </c>
      <c r="AR302" s="4" t="str">
        <f>IF(ISNA(MATCH($BA302,planas!$BA:$BA,0)),"ne","taip")</f>
        <v>ne</v>
      </c>
      <c r="BA302" s="1" t="s">
        <v>656</v>
      </c>
      <c r="BB302" s="1">
        <f>MOD(SUMPRODUCT(--($T$1:$T301&lt;&gt;$T$2:$T302)),2)</f>
        <v>0</v>
      </c>
    </row>
    <row r="303" spans="1:54" ht="14.4" hidden="1" x14ac:dyDescent="0.3">
      <c r="A303" s="1" t="s">
        <v>294</v>
      </c>
      <c r="B303" s="124" t="s">
        <v>312</v>
      </c>
      <c r="C303" s="1" t="s">
        <v>57</v>
      </c>
      <c r="D303" s="1">
        <v>2</v>
      </c>
      <c r="E303" s="2">
        <v>3280.0070000000001</v>
      </c>
      <c r="F303" s="2">
        <v>5165.0429999999997</v>
      </c>
      <c r="G303" s="2">
        <v>595.00800000000004</v>
      </c>
      <c r="H303" s="2">
        <v>6046.21</v>
      </c>
      <c r="J303" s="1">
        <v>13200</v>
      </c>
      <c r="L303" s="3" t="s">
        <v>349</v>
      </c>
      <c r="M303" s="115">
        <v>45261</v>
      </c>
      <c r="V303" s="4">
        <v>16.940000000000001</v>
      </c>
      <c r="W303" s="4">
        <v>2.383</v>
      </c>
      <c r="AD303" s="4" t="s">
        <v>584</v>
      </c>
      <c r="AF303" s="1" t="s">
        <v>710</v>
      </c>
      <c r="AG303" s="1" t="s">
        <v>712</v>
      </c>
      <c r="AL303" s="1" t="s">
        <v>708</v>
      </c>
      <c r="AM303" s="99">
        <v>45264</v>
      </c>
      <c r="AP303" s="2">
        <v>1</v>
      </c>
      <c r="AQ303" s="4">
        <v>37.564</v>
      </c>
      <c r="AR303" s="4" t="str">
        <f>IF(ISNA(MATCH($BA303,planas!$BA:$BA,0)),"ne","taip")</f>
        <v>ne</v>
      </c>
      <c r="BA303" s="1" t="s">
        <v>595</v>
      </c>
      <c r="BB303" s="1">
        <f>MOD(SUMPRODUCT(--($T$1:$T302&lt;&gt;$T$2:$T303)),2)</f>
        <v>0</v>
      </c>
    </row>
    <row r="304" spans="1:54" ht="14.4" hidden="1" x14ac:dyDescent="0.3">
      <c r="A304" s="1" t="s">
        <v>294</v>
      </c>
      <c r="B304" s="124" t="s">
        <v>374</v>
      </c>
      <c r="C304" s="1" t="s">
        <v>56</v>
      </c>
      <c r="D304" s="1">
        <v>1</v>
      </c>
      <c r="E304" s="2">
        <v>1160</v>
      </c>
      <c r="F304" s="2">
        <v>7291.0690000000004</v>
      </c>
      <c r="G304" s="2">
        <v>140.001</v>
      </c>
      <c r="H304" s="2">
        <v>2912.21</v>
      </c>
      <c r="J304" s="1">
        <v>16130</v>
      </c>
      <c r="L304" s="3" t="s">
        <v>278</v>
      </c>
      <c r="M304" s="115">
        <v>45285</v>
      </c>
      <c r="V304" s="4">
        <v>8.4600000000000009</v>
      </c>
      <c r="W304" s="4">
        <v>1.1779999999999999</v>
      </c>
      <c r="AD304" s="4" t="s">
        <v>359</v>
      </c>
      <c r="AF304" s="1" t="s">
        <v>710</v>
      </c>
      <c r="AG304" s="1" t="s">
        <v>709</v>
      </c>
      <c r="AL304" s="1" t="s">
        <v>708</v>
      </c>
      <c r="AM304" s="99">
        <v>45287</v>
      </c>
      <c r="AQ304" s="4">
        <v>24.071999999999999</v>
      </c>
      <c r="AR304" s="4" t="str">
        <f>IF(ISNA(MATCH($BA304,planas!$BA:$BA,0)),"ne","taip")</f>
        <v>ne</v>
      </c>
      <c r="BA304" s="1" t="s">
        <v>679</v>
      </c>
      <c r="BB304" s="1">
        <f>MOD(SUMPRODUCT(--($T$1:$T303&lt;&gt;$T$2:$T304)),2)</f>
        <v>0</v>
      </c>
    </row>
    <row r="305" spans="1:54" ht="14.4" hidden="1" x14ac:dyDescent="0.3">
      <c r="A305" s="1" t="s">
        <v>294</v>
      </c>
      <c r="B305" s="124" t="s">
        <v>146</v>
      </c>
      <c r="C305" s="1" t="s">
        <v>56</v>
      </c>
      <c r="D305" s="1">
        <v>4</v>
      </c>
      <c r="E305" s="2">
        <v>2920.0070000000001</v>
      </c>
      <c r="F305" s="2">
        <v>2460</v>
      </c>
      <c r="G305" s="2">
        <v>200.00200000000001</v>
      </c>
      <c r="H305" s="2">
        <v>3385.18</v>
      </c>
      <c r="J305" s="1">
        <v>12150</v>
      </c>
      <c r="L305" s="3" t="s">
        <v>753</v>
      </c>
      <c r="M305" s="115">
        <v>45257</v>
      </c>
      <c r="V305" s="4">
        <v>7.18</v>
      </c>
      <c r="W305" s="4">
        <v>1.375</v>
      </c>
      <c r="AD305" s="4" t="s">
        <v>277</v>
      </c>
      <c r="AF305" s="1" t="s">
        <v>712</v>
      </c>
      <c r="AG305" s="1" t="s">
        <v>706</v>
      </c>
      <c r="AL305" s="1" t="s">
        <v>708</v>
      </c>
      <c r="AM305" s="99">
        <v>45258</v>
      </c>
      <c r="AQ305" s="4">
        <v>31.152999999999999</v>
      </c>
      <c r="AR305" s="4" t="str">
        <f>IF(ISNA(MATCH($BA305,planas!$BA:$BA,0)),"ne","taip")</f>
        <v>ne</v>
      </c>
      <c r="BA305" s="1" t="s">
        <v>432</v>
      </c>
      <c r="BB305" s="1">
        <f>MOD(SUMPRODUCT(--($T$1:$T304&lt;&gt;$T$2:$T305)),2)</f>
        <v>0</v>
      </c>
    </row>
    <row r="306" spans="1:54" ht="14.4" hidden="1" x14ac:dyDescent="0.3">
      <c r="A306" s="1" t="s">
        <v>294</v>
      </c>
      <c r="B306" s="124" t="s">
        <v>226</v>
      </c>
      <c r="C306" s="1" t="s">
        <v>56</v>
      </c>
      <c r="D306" s="1">
        <v>1</v>
      </c>
      <c r="E306" s="2">
        <v>3130.0070000000001</v>
      </c>
      <c r="F306" s="2">
        <v>6170.0010000000002</v>
      </c>
      <c r="G306" s="2">
        <v>200.006</v>
      </c>
      <c r="H306" s="2">
        <v>8938.2000000000007</v>
      </c>
      <c r="J306" s="1">
        <v>15440</v>
      </c>
      <c r="L306" s="3" t="s">
        <v>753</v>
      </c>
      <c r="M306" s="115">
        <v>45275</v>
      </c>
      <c r="V306" s="4">
        <v>19.309999999999999</v>
      </c>
      <c r="W306" s="4">
        <v>3.6549999999999998</v>
      </c>
      <c r="AD306" s="4" t="s">
        <v>277</v>
      </c>
      <c r="AF306" s="1" t="s">
        <v>710</v>
      </c>
      <c r="AG306" s="1" t="s">
        <v>707</v>
      </c>
      <c r="AL306" s="1" t="s">
        <v>708</v>
      </c>
      <c r="AM306" s="99">
        <v>45278</v>
      </c>
      <c r="AQ306" s="4">
        <v>25.863</v>
      </c>
      <c r="AR306" s="4" t="str">
        <f>IF(ISNA(MATCH($BA306,planas!$BA:$BA,0)),"ne","taip")</f>
        <v>ne</v>
      </c>
      <c r="BA306" s="1" t="s">
        <v>661</v>
      </c>
      <c r="BB306" s="1">
        <f>MOD(SUMPRODUCT(--($T$1:$T305&lt;&gt;$T$2:$T306)),2)</f>
        <v>0</v>
      </c>
    </row>
    <row r="307" spans="1:54" ht="14.4" hidden="1" x14ac:dyDescent="0.3">
      <c r="A307" s="1" t="s">
        <v>294</v>
      </c>
      <c r="B307" s="124" t="s">
        <v>247</v>
      </c>
      <c r="C307" s="1" t="s">
        <v>56</v>
      </c>
      <c r="D307" s="1">
        <v>1</v>
      </c>
      <c r="E307" s="2">
        <v>3130</v>
      </c>
      <c r="F307" s="2">
        <v>2531</v>
      </c>
      <c r="G307" s="2">
        <v>200.001</v>
      </c>
      <c r="H307" s="2">
        <v>3660.73</v>
      </c>
      <c r="J307" s="1">
        <v>15540</v>
      </c>
      <c r="L307" s="3" t="s">
        <v>278</v>
      </c>
      <c r="M307" s="115">
        <v>45278</v>
      </c>
      <c r="V307" s="4">
        <v>7.92</v>
      </c>
      <c r="W307" s="4">
        <v>1.496</v>
      </c>
      <c r="AD307" s="4" t="s">
        <v>277</v>
      </c>
      <c r="AF307" s="1" t="s">
        <v>710</v>
      </c>
      <c r="AG307" s="1" t="s">
        <v>707</v>
      </c>
      <c r="AL307" s="1" t="s">
        <v>708</v>
      </c>
      <c r="AM307" s="99">
        <v>45279</v>
      </c>
      <c r="AQ307" s="4">
        <v>10.656000000000001</v>
      </c>
      <c r="AR307" s="4" t="str">
        <f>IF(ISNA(MATCH($BA307,planas!$BA:$BA,0)),"ne","taip")</f>
        <v>ne</v>
      </c>
      <c r="BA307" s="1" t="s">
        <v>504</v>
      </c>
      <c r="BB307" s="1">
        <f>MOD(SUMPRODUCT(--($T$1:$T306&lt;&gt;$T$2:$T307)),2)</f>
        <v>0</v>
      </c>
    </row>
    <row r="308" spans="1:54" ht="14.4" hidden="1" x14ac:dyDescent="0.3">
      <c r="A308" s="1" t="s">
        <v>294</v>
      </c>
      <c r="B308" s="124" t="s">
        <v>210</v>
      </c>
      <c r="C308" s="1" t="s">
        <v>56</v>
      </c>
      <c r="D308" s="1">
        <v>4</v>
      </c>
      <c r="E308" s="2">
        <v>3130.0070000000001</v>
      </c>
      <c r="F308" s="2">
        <v>6609.9989999999998</v>
      </c>
      <c r="G308" s="2">
        <v>200.03700000000001</v>
      </c>
      <c r="H308" s="2">
        <v>8937.85</v>
      </c>
      <c r="J308" s="1">
        <v>9900</v>
      </c>
      <c r="L308" s="3" t="s">
        <v>753</v>
      </c>
      <c r="M308" s="115">
        <v>45244</v>
      </c>
      <c r="V308" s="4">
        <v>20.69</v>
      </c>
      <c r="W308" s="4">
        <v>3.6520000000000001</v>
      </c>
      <c r="AD308" s="4" t="s">
        <v>277</v>
      </c>
      <c r="AF308" s="1" t="s">
        <v>706</v>
      </c>
      <c r="AG308" s="1" t="s">
        <v>713</v>
      </c>
      <c r="AL308" s="1" t="s">
        <v>708</v>
      </c>
      <c r="AM308" s="99">
        <v>45245</v>
      </c>
      <c r="AQ308" s="4">
        <v>30.646000000000001</v>
      </c>
      <c r="AR308" s="4" t="str">
        <f>IF(ISNA(MATCH($BA308,planas!$BA:$BA,0)),"ne","taip")</f>
        <v>ne</v>
      </c>
      <c r="BA308" s="1" t="s">
        <v>409</v>
      </c>
      <c r="BB308" s="1">
        <f>MOD(SUMPRODUCT(--($T$1:$T307&lt;&gt;$T$2:$T308)),2)</f>
        <v>0</v>
      </c>
    </row>
    <row r="309" spans="1:54" ht="14.4" hidden="1" x14ac:dyDescent="0.3">
      <c r="A309" s="1" t="s">
        <v>294</v>
      </c>
      <c r="B309" s="124" t="s">
        <v>304</v>
      </c>
      <c r="C309" s="1" t="s">
        <v>57</v>
      </c>
      <c r="D309" s="1">
        <v>2</v>
      </c>
      <c r="E309" s="2">
        <v>3280.0050000000001</v>
      </c>
      <c r="F309" s="2">
        <v>3634.9639999999999</v>
      </c>
      <c r="G309" s="2">
        <v>595.00099999999998</v>
      </c>
      <c r="H309" s="2">
        <v>4835.43</v>
      </c>
      <c r="J309" s="1">
        <v>9740</v>
      </c>
      <c r="L309" s="3" t="s">
        <v>349</v>
      </c>
      <c r="M309" s="115">
        <v>45243</v>
      </c>
      <c r="V309" s="4">
        <v>11.92</v>
      </c>
      <c r="W309" s="4">
        <v>1.9079999999999999</v>
      </c>
      <c r="AD309" s="4" t="s">
        <v>584</v>
      </c>
      <c r="AF309" s="1" t="s">
        <v>706</v>
      </c>
      <c r="AG309" s="1" t="s">
        <v>713</v>
      </c>
      <c r="AL309" s="1" t="s">
        <v>708</v>
      </c>
      <c r="AM309" s="99">
        <v>45244</v>
      </c>
      <c r="AP309" s="2">
        <v>2</v>
      </c>
      <c r="AQ309" s="4">
        <v>26.108000000000001</v>
      </c>
      <c r="AR309" s="4" t="str">
        <f>IF(ISNA(MATCH($BA309,planas!$BA:$BA,0)),"ne","taip")</f>
        <v>ne</v>
      </c>
      <c r="BA309" s="1" t="s">
        <v>605</v>
      </c>
      <c r="BB309" s="1">
        <f>MOD(SUMPRODUCT(--($T$1:$T308&lt;&gt;$T$2:$T309)),2)</f>
        <v>0</v>
      </c>
    </row>
    <row r="310" spans="1:54" ht="14.4" hidden="1" x14ac:dyDescent="0.3">
      <c r="A310" s="1" t="s">
        <v>294</v>
      </c>
      <c r="B310" s="124" t="s">
        <v>302</v>
      </c>
      <c r="C310" s="1" t="s">
        <v>57</v>
      </c>
      <c r="D310" s="1">
        <v>1</v>
      </c>
      <c r="E310" s="2">
        <v>3280.0079999999998</v>
      </c>
      <c r="F310" s="2">
        <v>3375.0129999999999</v>
      </c>
      <c r="G310" s="2">
        <v>595</v>
      </c>
      <c r="H310" s="2">
        <v>4086.86</v>
      </c>
      <c r="J310" s="1">
        <v>11990</v>
      </c>
      <c r="L310" s="3" t="s">
        <v>348</v>
      </c>
      <c r="M310" s="115">
        <v>45254</v>
      </c>
      <c r="V310" s="4">
        <v>11.07</v>
      </c>
      <c r="W310" s="4">
        <v>1.6140000000000001</v>
      </c>
      <c r="AD310" s="4" t="s">
        <v>584</v>
      </c>
      <c r="AF310" s="1" t="s">
        <v>712</v>
      </c>
      <c r="AG310" s="1" t="s">
        <v>706</v>
      </c>
      <c r="AL310" s="1" t="s">
        <v>708</v>
      </c>
      <c r="AM310" s="99">
        <v>45257</v>
      </c>
      <c r="AQ310" s="4">
        <v>26.812999999999999</v>
      </c>
      <c r="AR310" s="4" t="str">
        <f>IF(ISNA(MATCH($BA310,planas!$BA:$BA,0)),"ne","taip")</f>
        <v>ne</v>
      </c>
      <c r="BA310" s="1" t="s">
        <v>614</v>
      </c>
      <c r="BB310" s="1">
        <f>MOD(SUMPRODUCT(--($T$1:$T309&lt;&gt;$T$2:$T310)),2)</f>
        <v>0</v>
      </c>
    </row>
    <row r="311" spans="1:54" ht="14.4" hidden="1" x14ac:dyDescent="0.3">
      <c r="A311" s="1" t="s">
        <v>294</v>
      </c>
      <c r="B311" s="124" t="s">
        <v>295</v>
      </c>
      <c r="C311" s="1" t="s">
        <v>57</v>
      </c>
      <c r="D311" s="1">
        <v>1</v>
      </c>
      <c r="E311" s="2">
        <v>3130.0010000000002</v>
      </c>
      <c r="F311" s="2">
        <v>8415</v>
      </c>
      <c r="G311" s="2">
        <v>545.08600000000001</v>
      </c>
      <c r="H311" s="2">
        <v>9943.7000000000007</v>
      </c>
      <c r="J311" s="1">
        <v>14270</v>
      </c>
      <c r="L311" s="3" t="s">
        <v>348</v>
      </c>
      <c r="M311" s="115">
        <v>45268</v>
      </c>
      <c r="V311" s="4">
        <v>26.34</v>
      </c>
      <c r="W311" s="4">
        <v>4.0449999999999999</v>
      </c>
      <c r="AD311" s="4" t="s">
        <v>584</v>
      </c>
      <c r="AF311" s="1" t="s">
        <v>710</v>
      </c>
      <c r="AG311" s="1" t="s">
        <v>710</v>
      </c>
      <c r="AL311" s="1" t="s">
        <v>280</v>
      </c>
      <c r="AM311" s="99">
        <v>45271</v>
      </c>
      <c r="AR311" s="4" t="str">
        <f>IF(ISNA(MATCH($BA311,planas!$BA:$BA,0)),"ne","taip")</f>
        <v>ne</v>
      </c>
      <c r="BA311" s="1" t="s">
        <v>586</v>
      </c>
      <c r="BB311" s="1">
        <f>MOD(SUMPRODUCT(--($T$1:$T310&lt;&gt;$T$2:$T311)),2)</f>
        <v>0</v>
      </c>
    </row>
    <row r="312" spans="1:54" ht="14.4" hidden="1" x14ac:dyDescent="0.3">
      <c r="A312" s="1" t="s">
        <v>294</v>
      </c>
      <c r="B312" s="124" t="s">
        <v>303</v>
      </c>
      <c r="C312" s="1" t="s">
        <v>57</v>
      </c>
      <c r="D312" s="1">
        <v>1</v>
      </c>
      <c r="E312" s="2">
        <v>3130.0010000000002</v>
      </c>
      <c r="F312" s="2">
        <v>6170.018</v>
      </c>
      <c r="G312" s="2">
        <v>545.00699999999995</v>
      </c>
      <c r="H312" s="2">
        <v>6925.94</v>
      </c>
      <c r="J312" s="1">
        <v>14310</v>
      </c>
      <c r="L312" s="3" t="s">
        <v>348</v>
      </c>
      <c r="M312" s="115">
        <v>45268</v>
      </c>
      <c r="V312" s="4">
        <v>19.309999999999999</v>
      </c>
      <c r="W312" s="4">
        <v>2.82</v>
      </c>
      <c r="AD312" s="4" t="s">
        <v>584</v>
      </c>
      <c r="AF312" s="1" t="s">
        <v>710</v>
      </c>
      <c r="AG312" s="1" t="s">
        <v>710</v>
      </c>
      <c r="AL312" s="1" t="s">
        <v>708</v>
      </c>
      <c r="AM312" s="99">
        <v>45271</v>
      </c>
      <c r="AR312" s="4" t="str">
        <f>IF(ISNA(MATCH($BA312,planas!$BA:$BA,0)),"ne","taip")</f>
        <v>ne</v>
      </c>
      <c r="BA312" s="1" t="s">
        <v>583</v>
      </c>
      <c r="BB312" s="1">
        <f>MOD(SUMPRODUCT(--($T$1:$T311&lt;&gt;$T$2:$T312)),2)</f>
        <v>0</v>
      </c>
    </row>
    <row r="313" spans="1:54" ht="14.4" hidden="1" x14ac:dyDescent="0.3">
      <c r="A313" s="1" t="s">
        <v>294</v>
      </c>
      <c r="B313" s="124" t="s">
        <v>305</v>
      </c>
      <c r="C313" s="1" t="s">
        <v>57</v>
      </c>
      <c r="D313" s="1">
        <v>1</v>
      </c>
      <c r="E313" s="2">
        <v>3130.0070000000001</v>
      </c>
      <c r="F313" s="2">
        <v>5165.0429999999997</v>
      </c>
      <c r="G313" s="2">
        <v>545.00599999999997</v>
      </c>
      <c r="H313" s="2">
        <v>5824.98</v>
      </c>
      <c r="J313" s="1">
        <v>14320</v>
      </c>
      <c r="L313" s="3" t="s">
        <v>349</v>
      </c>
      <c r="M313" s="115">
        <v>45268</v>
      </c>
      <c r="V313" s="4">
        <v>16.170000000000002</v>
      </c>
      <c r="W313" s="4">
        <v>2.3660000000000001</v>
      </c>
      <c r="AD313" s="4" t="s">
        <v>584</v>
      </c>
      <c r="AF313" s="1" t="s">
        <v>710</v>
      </c>
      <c r="AG313" s="1" t="s">
        <v>710</v>
      </c>
      <c r="AL313" s="1" t="s">
        <v>708</v>
      </c>
      <c r="AM313" s="99">
        <v>45271</v>
      </c>
      <c r="AR313" s="4" t="str">
        <f>IF(ISNA(MATCH($BA313,planas!$BA:$BA,0)),"ne","taip")</f>
        <v>ne</v>
      </c>
      <c r="BA313" s="1" t="s">
        <v>569</v>
      </c>
      <c r="BB313" s="1">
        <f>MOD(SUMPRODUCT(--($T$1:$T312&lt;&gt;$T$2:$T313)),2)</f>
        <v>0</v>
      </c>
    </row>
    <row r="314" spans="1:54" ht="14.4" hidden="1" x14ac:dyDescent="0.3">
      <c r="A314" s="1" t="s">
        <v>294</v>
      </c>
      <c r="B314" s="124" t="s">
        <v>490</v>
      </c>
      <c r="C314" s="1" t="s">
        <v>57</v>
      </c>
      <c r="D314" s="1">
        <v>2</v>
      </c>
      <c r="E314" s="2">
        <v>3780.0070000000001</v>
      </c>
      <c r="F314" s="2">
        <v>8090.0020000000004</v>
      </c>
      <c r="G314" s="2">
        <v>545.00099999999998</v>
      </c>
      <c r="H314" s="2">
        <v>10205.709999999999</v>
      </c>
      <c r="J314" s="1">
        <v>6040</v>
      </c>
      <c r="L314" s="3" t="s">
        <v>349</v>
      </c>
      <c r="M314" s="115">
        <v>45212</v>
      </c>
      <c r="V314" s="4">
        <v>30.58</v>
      </c>
      <c r="W314" s="4">
        <v>4.1500000000000004</v>
      </c>
      <c r="AD314" s="4" t="s">
        <v>584</v>
      </c>
      <c r="AF314" s="1" t="s">
        <v>711</v>
      </c>
      <c r="AG314" s="1" t="s">
        <v>710</v>
      </c>
      <c r="AL314" s="1" t="s">
        <v>280</v>
      </c>
      <c r="AM314" s="99">
        <v>45215</v>
      </c>
      <c r="AR314" s="4" t="str">
        <f>IF(ISNA(MATCH($BA314,planas!$BA:$BA,0)),"ne","taip")</f>
        <v>ne</v>
      </c>
      <c r="BA314" s="1" t="s">
        <v>489</v>
      </c>
      <c r="BB314" s="1">
        <f>MOD(SUMPRODUCT(--($T$1:$T313&lt;&gt;$T$2:$T314)),2)</f>
        <v>0</v>
      </c>
    </row>
    <row r="315" spans="1:54" ht="14.4" hidden="1" x14ac:dyDescent="0.3">
      <c r="A315" s="1" t="s">
        <v>294</v>
      </c>
      <c r="B315" s="124" t="s">
        <v>490</v>
      </c>
      <c r="C315" s="1" t="s">
        <v>57</v>
      </c>
      <c r="D315" s="1">
        <v>2</v>
      </c>
      <c r="E315" s="2">
        <v>3780.0070000000001</v>
      </c>
      <c r="F315" s="2">
        <v>8090.0020000000004</v>
      </c>
      <c r="G315" s="2">
        <v>545.00099999999998</v>
      </c>
      <c r="H315" s="2">
        <v>10205.709999999999</v>
      </c>
      <c r="J315" s="1">
        <v>14190</v>
      </c>
      <c r="L315" s="3" t="s">
        <v>349</v>
      </c>
      <c r="M315" s="115">
        <v>45268</v>
      </c>
      <c r="V315" s="4">
        <v>30.58</v>
      </c>
      <c r="W315" s="4">
        <v>4.1500000000000004</v>
      </c>
      <c r="AD315" s="4" t="s">
        <v>584</v>
      </c>
      <c r="AF315" s="1" t="s">
        <v>710</v>
      </c>
      <c r="AG315" s="1" t="s">
        <v>710</v>
      </c>
      <c r="AL315" s="1" t="s">
        <v>280</v>
      </c>
      <c r="AM315" s="99">
        <v>45271</v>
      </c>
      <c r="AR315" s="4" t="str">
        <f>IF(ISNA(MATCH($BA315,planas!$BA:$BA,0)),"ne","taip")</f>
        <v>ne</v>
      </c>
      <c r="BA315" s="1" t="s">
        <v>575</v>
      </c>
      <c r="BB315" s="1">
        <f>MOD(SUMPRODUCT(--($T$1:$T314&lt;&gt;$T$2:$T315)),2)</f>
        <v>0</v>
      </c>
    </row>
    <row r="316" spans="1:54" ht="14.4" hidden="1" x14ac:dyDescent="0.3">
      <c r="A316" s="1" t="s">
        <v>294</v>
      </c>
      <c r="B316" s="124" t="s">
        <v>313</v>
      </c>
      <c r="C316" s="1" t="s">
        <v>57</v>
      </c>
      <c r="D316" s="1">
        <v>1</v>
      </c>
      <c r="E316" s="2">
        <v>3130.0070000000001</v>
      </c>
      <c r="F316" s="2">
        <v>6050.04</v>
      </c>
      <c r="G316" s="2">
        <v>545.00099999999998</v>
      </c>
      <c r="H316" s="2">
        <v>7714.07</v>
      </c>
      <c r="J316" s="1">
        <v>14330</v>
      </c>
      <c r="L316" s="3" t="s">
        <v>348</v>
      </c>
      <c r="M316" s="115">
        <v>45268</v>
      </c>
      <c r="V316" s="4">
        <v>18.940000000000001</v>
      </c>
      <c r="W316" s="4">
        <v>3.1339999999999999</v>
      </c>
      <c r="AD316" s="4" t="s">
        <v>584</v>
      </c>
      <c r="AF316" s="1" t="s">
        <v>710</v>
      </c>
      <c r="AG316" s="1" t="s">
        <v>710</v>
      </c>
      <c r="AL316" s="1" t="s">
        <v>708</v>
      </c>
      <c r="AM316" s="99">
        <v>45271</v>
      </c>
      <c r="AR316" s="4" t="str">
        <f>IF(ISNA(MATCH($BA316,planas!$BA:$BA,0)),"ne","taip")</f>
        <v>ne</v>
      </c>
      <c r="BA316" s="1" t="s">
        <v>620</v>
      </c>
      <c r="BB316" s="1">
        <f>MOD(SUMPRODUCT(--($T$1:$T315&lt;&gt;$T$2:$T316)),2)</f>
        <v>0</v>
      </c>
    </row>
    <row r="317" spans="1:54" ht="14.4" hidden="1" x14ac:dyDescent="0.3">
      <c r="A317" s="1" t="s">
        <v>294</v>
      </c>
      <c r="B317" s="124" t="s">
        <v>318</v>
      </c>
      <c r="C317" s="1" t="s">
        <v>57</v>
      </c>
      <c r="D317" s="1">
        <v>1</v>
      </c>
      <c r="E317" s="2">
        <v>3130.0210000000002</v>
      </c>
      <c r="F317" s="2">
        <v>5340.027</v>
      </c>
      <c r="G317" s="2">
        <v>545.00699999999995</v>
      </c>
      <c r="H317" s="2">
        <v>6650.31</v>
      </c>
      <c r="J317" s="1">
        <v>14280</v>
      </c>
      <c r="L317" s="3" t="s">
        <v>349</v>
      </c>
      <c r="M317" s="115">
        <v>45268</v>
      </c>
      <c r="V317" s="4">
        <v>16.71</v>
      </c>
      <c r="W317" s="4">
        <v>2.7</v>
      </c>
      <c r="AD317" s="4" t="s">
        <v>584</v>
      </c>
      <c r="AF317" s="1" t="s">
        <v>710</v>
      </c>
      <c r="AG317" s="1" t="s">
        <v>710</v>
      </c>
      <c r="AL317" s="1" t="s">
        <v>708</v>
      </c>
      <c r="AM317" s="99">
        <v>45271</v>
      </c>
      <c r="AR317" s="4" t="str">
        <f>IF(ISNA(MATCH($BA317,planas!$BA:$BA,0)),"ne","taip")</f>
        <v>ne</v>
      </c>
      <c r="BA317" s="1" t="s">
        <v>577</v>
      </c>
      <c r="BB317" s="1">
        <f>MOD(SUMPRODUCT(--($T$1:$T316&lt;&gt;$T$2:$T317)),2)</f>
        <v>0</v>
      </c>
    </row>
  </sheetData>
  <autoFilter ref="A1:BC317" xr:uid="{00000000-0001-0000-0200-000000000000}">
    <filterColumn colId="10">
      <customFilters>
        <customFilter operator="notEqual" val=" "/>
      </customFilters>
    </filterColumn>
  </autoFilter>
  <conditionalFormatting sqref="A1:BC1048576">
    <cfRule type="expression" dxfId="20" priority="14">
      <formula>ISNUMBER($T1)*($BB1=0)</formula>
    </cfRule>
    <cfRule type="expression" dxfId="19" priority="16">
      <formula>($AR1="taip")</formula>
    </cfRule>
  </conditionalFormatting>
  <hyperlinks>
    <hyperlink ref="B2" tooltip="nuoroda i brezini" display="VS-20" xr:uid="{C596EE1F-78EA-4B40-B230-B57EC160B4D3}"/>
    <hyperlink ref="B3" tooltip="nuoroda i brezini" display="1PS-20" xr:uid="{02EFB4B0-20F9-464E-8885-B9B4031ECD77}"/>
    <hyperlink ref="B4" tooltip="nuoroda i brezini" display="VS-31" xr:uid="{3C852E30-D291-4075-AFCF-6F229115A8BC}"/>
    <hyperlink ref="B5" tooltip="nuoroda i brezini" display="1PS-28" xr:uid="{CE1F1840-E235-43F4-AA29-59660B840644}"/>
    <hyperlink ref="B6" tooltip="nuoroda i brezini" display="VS-110" xr:uid="{0FF2AFB8-7355-421B-8F60-3D92EEF32F57}"/>
    <hyperlink ref="B7" tooltip="nuoroda i brezini" display="VS-70" xr:uid="{F257AAEC-C05C-4F05-8619-CDCDC5EA341B}"/>
    <hyperlink ref="B8" tooltip="nuoroda i brezini" display="3LS-17" xr:uid="{960742AB-E56E-4AE9-8CE3-E21D000BC2D0}"/>
    <hyperlink ref="B9" tooltip="nuoroda i brezini" display="VS-108" xr:uid="{B00D71F6-1BF9-403D-9063-B85ACD5C5B05}"/>
    <hyperlink ref="B10" tooltip="nuoroda i brezini" display="VS-43" xr:uid="{4187F93D-5CEA-463E-84DF-4613951A44A2}"/>
    <hyperlink ref="B11" tooltip="nuoroda i brezini" display="3LS-39" xr:uid="{01520AA3-67CD-422D-9C79-BA7F0060E5AC}"/>
    <hyperlink ref="B12" tooltip="nuoroda i brezini" display="VS-219" xr:uid="{104B7B7E-8082-44AE-B01A-C4D321B90E8A}"/>
    <hyperlink ref="B13" tooltip="nuoroda i brezini" display="VS-69" xr:uid="{0502BF87-3D50-4614-85E0-606FD42D3F71}"/>
    <hyperlink ref="B14" tooltip="nuoroda i brezini" display="VS-22" xr:uid="{4B8A170D-2842-463E-91A6-9F1ED113D138}"/>
    <hyperlink ref="B15" tooltip="nuoroda i brezini" display="VS-113" xr:uid="{8CA34652-A943-4E97-B9C8-1138B0F83ECD}"/>
    <hyperlink ref="B16" tooltip="nuoroda i brezini" display="3LS-59" xr:uid="{4FA4C96D-0163-4A55-837E-09856E7404DD}"/>
    <hyperlink ref="B17" tooltip="nuoroda i brezini" display="1PS-90" xr:uid="{2D77D325-9F77-4E6C-AC66-843B1362983F}"/>
    <hyperlink ref="B18" tooltip="nuoroda i brezini" display="VS-83" xr:uid="{70E8F22B-2FFB-4E4E-92CD-0B1A7680EB53}"/>
    <hyperlink ref="B19" tooltip="nuoroda i brezini" display="3LS-77" xr:uid="{C041E5FD-2C7E-4F22-9CA5-67B2C7F34E5F}"/>
    <hyperlink ref="B20" tooltip="nuoroda i brezini" display="VS-46" xr:uid="{0E7D2BA5-45FE-4CD8-B94E-F7CB41A1A186}"/>
    <hyperlink ref="B21" tooltip="nuoroda i brezini" display="VS-31" xr:uid="{C71ED908-554A-4058-9A17-EB612A3D3CF0}"/>
    <hyperlink ref="B22" tooltip="nuoroda i brezini" display="3LS-161" xr:uid="{DB7156A6-4EEB-47F4-9174-F9836088E6FB}"/>
    <hyperlink ref="B23" tooltip="nuoroda i brezini" display="3LS-74" xr:uid="{5B8F3000-7955-48F2-B287-98CECCA6A360}"/>
    <hyperlink ref="B24" tooltip="nuoroda i brezini" display="VS-22" xr:uid="{47042CA6-1C38-462E-9428-C0C12C4F6D55}"/>
    <hyperlink ref="B25" tooltip="nuoroda i brezini" display="3LS-41" xr:uid="{CF420388-7163-461C-AC1D-39C347E9ACC2}"/>
    <hyperlink ref="B26" tooltip="nuoroda i brezini" display="VS-44" xr:uid="{23D8E28E-DBE6-4FAA-AE70-6E10AD16DCA2}"/>
    <hyperlink ref="B27" tooltip="nuoroda i brezini" display="VS-73" xr:uid="{7BB2B653-E0EB-4CB1-98ED-AE56B000CD49}"/>
    <hyperlink ref="B28" tooltip="nuoroda i brezini" display="VS-125" xr:uid="{E49E9C1D-11A9-405F-A013-A136E7C0B971}"/>
    <hyperlink ref="B29" tooltip="nuoroda i brezini" display="3LS-36" xr:uid="{D655B751-12B5-42B2-9660-CA77832B3E77}"/>
    <hyperlink ref="B30" tooltip="nuoroda i brezini" display="VS-50" xr:uid="{A6F0BF95-D09D-48AB-B0CD-64B6D65B9625}"/>
    <hyperlink ref="B31" tooltip="nuoroda i brezini" display="3LS-193" xr:uid="{2031526C-C217-4E44-A81C-131F3C66A273}"/>
    <hyperlink ref="B32" tooltip="nuoroda i brezini" display="VS-136" xr:uid="{9DF979DB-1787-4C0E-9158-9EC87311A5F7}"/>
    <hyperlink ref="B33" tooltip="nuoroda i brezini" display="VS-34" xr:uid="{EA6AC1EB-F29B-4172-A853-F8950E378B14}"/>
    <hyperlink ref="B34" tooltip="nuoroda i brezini" display="VS-97" xr:uid="{293AAFBB-7F92-4959-B048-997342683562}"/>
    <hyperlink ref="B35" tooltip="nuoroda i brezini" display="3LS-165" xr:uid="{4EFD5276-099E-4AEA-9611-8B7DADDFE38D}"/>
    <hyperlink ref="B36" tooltip="nuoroda i brezini" display="3LS-69" xr:uid="{75255376-201F-4F3F-A10B-B2474CF221AD}"/>
    <hyperlink ref="B37" tooltip="nuoroda i brezini" display="VS-106" xr:uid="{7EFB84A5-3948-49D4-9814-D97913C5652A}"/>
    <hyperlink ref="B38" tooltip="nuoroda i brezini" display="3LS-179" xr:uid="{76610951-65D8-4FD0-861A-0AFB432D500F}"/>
    <hyperlink ref="B39" tooltip="nuoroda i brezini" display="VS-124" xr:uid="{7F3E470F-4018-49FE-9CB6-DC1F12CB432E}"/>
    <hyperlink ref="B40" tooltip="nuoroda i brezini" display="1PS-89" xr:uid="{B68ED3B8-6B25-418F-9B93-C4F7F06BD336}"/>
    <hyperlink ref="B41" tooltip="nuoroda i brezini" display="3LS-71" xr:uid="{47CCEA09-3278-4D6F-9104-3F84B9D0897F}"/>
    <hyperlink ref="B42" tooltip="nuoroda i brezini" display="VS-98" xr:uid="{8C2504EA-2AD0-4CAA-9EDA-ED7D8CCDD2B2}"/>
    <hyperlink ref="B43" tooltip="nuoroda i brezini" display="3LS-76" xr:uid="{F51BCB77-5F22-4E1A-8D36-DF778EE06E47}"/>
    <hyperlink ref="B44" tooltip="nuoroda i brezini" display="3LS-21" xr:uid="{25929CC1-CF4E-4965-8B85-D991106C4844}"/>
    <hyperlink ref="B45" tooltip="nuoroda i brezini" display="VS-34" xr:uid="{2103DDFB-A609-441B-86FB-F6D994AFA4C6}"/>
    <hyperlink ref="B46" tooltip="nuoroda i brezini" display="3LS-3" xr:uid="{CB5AAAF7-8B03-4FB1-9E30-89A204729DC7}"/>
    <hyperlink ref="B47" tooltip="nuoroda i brezini" display="VS-46" xr:uid="{21CBC9B9-F512-4145-A0AE-A1BE38C21632}"/>
    <hyperlink ref="B48" tooltip="nuoroda i brezini" display="3LS-124" xr:uid="{98637801-282C-4853-A3D8-6D8F9208A334}"/>
    <hyperlink ref="B49" tooltip="nuoroda i brezini" display="3LS-20" xr:uid="{10E4A8F7-5EEE-4283-AFBF-C3C5B26834E1}"/>
    <hyperlink ref="B50" tooltip="nuoroda i brezini" display="3LS-45" xr:uid="{F92096AF-934D-406F-BA03-DC14E06A54C8}"/>
    <hyperlink ref="B51" tooltip="nuoroda i brezini" display="VS-66" xr:uid="{D2FBB043-9931-43F0-9432-C65A084D7662}"/>
    <hyperlink ref="B52" tooltip="nuoroda i brezini" display="VS-18" xr:uid="{D74AC513-5DE8-4A73-AF18-45E923515950}"/>
    <hyperlink ref="B53" tooltip="nuoroda i brezini" display="3LS-248" xr:uid="{3D94D7A1-71B3-4304-A88B-502D9AB8A2A3}"/>
    <hyperlink ref="B54" tooltip="nuoroda i brezini" display="VS-112" xr:uid="{646FB4AF-CBE5-4109-AB49-359DC9CB94CE}"/>
    <hyperlink ref="B55" tooltip="nuoroda i brezini" display="3LS-125" xr:uid="{6D9D74A4-FD27-4DC2-80E7-A54D8FC03884}"/>
    <hyperlink ref="B56" tooltip="nuoroda i brezini" display="VS-58" xr:uid="{AD3364F1-AC81-4F86-B7C5-F80C8A067749}"/>
    <hyperlink ref="B57" tooltip="nuoroda i brezini" display="3LS-126" xr:uid="{7765A1EF-DC2E-420C-B59D-5238D6778B0F}"/>
    <hyperlink ref="B58" tooltip="nuoroda i brezini" display="3LS-11" xr:uid="{2F5F097D-8641-4C47-9A9E-3C8CA3F6019F}"/>
    <hyperlink ref="B59" tooltip="nuoroda i brezini" display="3LS-74" xr:uid="{4D3F092C-86BB-445F-929C-E13D97AE9E12}"/>
    <hyperlink ref="B60" tooltip="nuoroda i brezini" display="VS-56" xr:uid="{E243F054-DAC9-4D1D-8601-2908B811C4B2}"/>
    <hyperlink ref="B61" tooltip="nuoroda i brezini" display="VS-136" xr:uid="{988BC35D-8442-4108-A870-E2E12BF11B0A}"/>
    <hyperlink ref="B62" tooltip="nuoroda i brezini" display="VS-136" xr:uid="{BACD1853-A929-4262-B651-ED3CF12FE159}"/>
    <hyperlink ref="B63" tooltip="nuoroda i brezini" display="VS-31" xr:uid="{D1ED1DEB-EAC3-4B99-9B52-DFF1625EDA11}"/>
    <hyperlink ref="B64" tooltip="nuoroda i brezini" display="3LS-41" xr:uid="{AD20FB1B-3588-454E-B7D4-0CBE0B7F467B}"/>
    <hyperlink ref="B65" tooltip="nuoroda i brezini" display="VS-5" xr:uid="{45FA4C15-494B-41B0-A0D7-25F5E1C12354}"/>
    <hyperlink ref="B66" tooltip="nuoroda i brezini" display="VS-99" xr:uid="{4E127E0B-ED75-4DBB-8476-712D2CEA930D}"/>
    <hyperlink ref="B67" tooltip="nuoroda i brezini" display="3LS-55" xr:uid="{1949C2C8-F575-49CF-8E38-7C6678BA2285}"/>
    <hyperlink ref="B68" tooltip="nuoroda i brezini" display="VS-102" xr:uid="{2C160EA1-5C99-46D1-8385-3C03CB705483}"/>
    <hyperlink ref="B69" tooltip="nuoroda i brezini" display="3LS-16" xr:uid="{3BBAEA21-763B-4600-A67F-E150DF82EAD6}"/>
    <hyperlink ref="B70" tooltip="nuoroda i brezini" display="3LS-253" xr:uid="{AB882150-2108-4319-AD43-D36C5955CE8D}"/>
    <hyperlink ref="B71" tooltip="nuoroda i brezini" display="VS-89" xr:uid="{7896E7FB-19C2-453D-95D1-C7DB7E258106}"/>
    <hyperlink ref="B72" tooltip="nuoroda i brezini" display="VS-38" xr:uid="{1040E624-BD75-4225-9389-5A643269D9CE}"/>
    <hyperlink ref="B73" tooltip="nuoroda i brezini" display="VS-82" xr:uid="{32794DB7-239B-4D03-9E6F-250C885FB691}"/>
    <hyperlink ref="B74" tooltip="nuoroda i brezini" display="VS-16" xr:uid="{3F7C5A37-ABE2-43CA-9CE1-87F516914B47}"/>
    <hyperlink ref="B75" tooltip="nuoroda i brezini" display="VS-41" xr:uid="{2E439E4B-317E-4980-AAC9-F7B0051ADE2D}"/>
    <hyperlink ref="B76" tooltip="nuoroda i brezini" display="1PS-92" xr:uid="{33995515-8F96-40BB-B687-6DE7BA9DDF82}"/>
    <hyperlink ref="B77" tooltip="nuoroda i brezini" display="3LS-7" xr:uid="{58E700DF-1E24-4F67-8BFC-F8860A827591}"/>
    <hyperlink ref="B78" tooltip="nuoroda i brezini" display="3LS-160" xr:uid="{2286A5FC-055A-4176-9DA2-445C8587449A}"/>
    <hyperlink ref="B79" tooltip="nuoroda i brezini" display="VS-68" xr:uid="{E811689C-DCD2-45D0-8661-D9031506DF72}"/>
    <hyperlink ref="B80" tooltip="nuoroda i brezini" display="VS-71" xr:uid="{5A152690-E1D3-4F15-B998-36BEE53F4C21}"/>
    <hyperlink ref="B81" tooltip="nuoroda i brezini" display="VS-83" xr:uid="{2EA5FEBB-F91F-4A9E-9917-A93C74BDDD52}"/>
    <hyperlink ref="B82" tooltip="nuoroda i brezini" display="1PS-81" xr:uid="{6066C226-11C0-4FF8-A629-355EF7D77617}"/>
    <hyperlink ref="B83" tooltip="nuoroda i brezini" display="VS-122" xr:uid="{ABD21168-A461-4B30-9236-A6CABB418722}"/>
    <hyperlink ref="B84" tooltip="nuoroda i brezini" display="3LS-115" xr:uid="{2F68DFEF-C5F1-46D8-8CD6-CE89C8E60957}"/>
    <hyperlink ref="B85" tooltip="nuoroda i brezini" display="3LS-75" xr:uid="{1B496D25-6DCC-4FA4-9758-F7ED47114431}"/>
    <hyperlink ref="B86" tooltip="nuoroda i brezini" display="VS-135" xr:uid="{FDDAD08D-E9B3-4956-959F-630E76E9D19B}"/>
    <hyperlink ref="B87" tooltip="nuoroda i brezini" display="VS-72" xr:uid="{4CBD4596-5408-411A-8AC2-2BCB6D86F78C}"/>
    <hyperlink ref="B88" tooltip="nuoroda i brezini" display="3LS-42" xr:uid="{A3F11E5D-8A9E-4926-8009-61C0867CFFDD}"/>
    <hyperlink ref="B89" tooltip="nuoroda i brezini" display="VS-45" xr:uid="{E19BC6E3-28CB-4181-BAA2-40324FD1E393}"/>
    <hyperlink ref="B90" tooltip="nuoroda i brezini" display="VS-20" xr:uid="{F2BA15B8-6192-4B29-A782-1ECEB039DA55}"/>
    <hyperlink ref="B91" tooltip="nuoroda i brezini" display="VS-26" xr:uid="{6E7FCA69-D180-47B7-8847-36614D87F23F}"/>
    <hyperlink ref="B92" tooltip="nuoroda i brezini" display="3LS-224" xr:uid="{58F185DD-A7F5-4289-B51B-FF819A1F1A37}"/>
    <hyperlink ref="B93" tooltip="nuoroda i brezini" display="3LS-36" xr:uid="{444824F1-EF21-40A6-BDA9-405683CC3414}"/>
    <hyperlink ref="B94" tooltip="nuoroda i brezini" display="VS-65" xr:uid="{2F4CE7CA-743D-4293-A38D-A8CAD337616A}"/>
    <hyperlink ref="B95" tooltip="nuoroda i brezini" display="3LS-30" xr:uid="{DC3F80EB-20A5-46A5-9110-1D1CE113DACF}"/>
    <hyperlink ref="B96" tooltip="nuoroda i brezini" display="3LS-17" xr:uid="{1D697410-C1A6-41F7-998D-3F9DEFED1AFC}"/>
    <hyperlink ref="B97" tooltip="nuoroda i brezini" display="VS-98" xr:uid="{6A4D84D3-6393-4B83-B9E6-2E5F8D631137}"/>
    <hyperlink ref="B98" tooltip="nuoroda i brezini" display="3LS-7" xr:uid="{05E7A5E5-510D-4E0B-BE28-D69952058CD5}"/>
    <hyperlink ref="B99" tooltip="nuoroda i brezini" display="3LS-49" xr:uid="{D77A4324-E7D6-420D-8A71-D533F7849F50}"/>
    <hyperlink ref="B100" tooltip="nuoroda i brezini" display="VS-120" xr:uid="{32313E03-C2A9-4DCF-9E45-E58693F61520}"/>
    <hyperlink ref="B101" tooltip="nuoroda i brezini" display="VS-23" xr:uid="{296A6752-4D33-4758-BEFE-A95183FF992A}"/>
    <hyperlink ref="B102" tooltip="nuoroda i brezini" display="VS-84" xr:uid="{D9099CF4-185D-4574-B1AD-9C50A40FFBB6}"/>
    <hyperlink ref="B103" tooltip="nuoroda i brezini" display="3LS-92" xr:uid="{BF98F4EA-423E-4E2A-8D7C-8B3529B754D0}"/>
    <hyperlink ref="B104" tooltip="nuoroda i brezini" display="VS-67" xr:uid="{704BBD76-D8BD-455C-9484-98DB72B79ADF}"/>
    <hyperlink ref="B105" tooltip="nuoroda i brezini" display="VS-125" xr:uid="{A84AFA2C-9A0E-43C4-8B41-DB955450DDD9}"/>
    <hyperlink ref="B106" tooltip="nuoroda i brezini" display="VS-71" xr:uid="{B13C1A58-437B-46C1-BC74-B2C0A4435738}"/>
    <hyperlink ref="B107" tooltip="nuoroda i brezini" display="VS-212" xr:uid="{9DB18AA8-845D-49ED-AA4E-1673DF527FBD}"/>
    <hyperlink ref="B108" tooltip="nuoroda i brezini" display="3LS-55" xr:uid="{1B3222A0-271B-4526-836D-7F383502238D}"/>
    <hyperlink ref="B109" tooltip="nuoroda i brezini" display="3LS-37" xr:uid="{D66D4C9D-C14B-4DD7-9606-BE89DE7F8A77}"/>
    <hyperlink ref="B110" tooltip="nuoroda i brezini" display="VS-40" xr:uid="{38725150-E218-44ED-849D-5DEF5B7A733E}"/>
    <hyperlink ref="B111" tooltip="nuoroda i brezini" display="1PS-18" xr:uid="{62BF0212-5917-4AE0-951F-F31DA258281E}"/>
    <hyperlink ref="B112" tooltip="nuoroda i brezini" display="3LS-33" xr:uid="{8E86F4F7-68E1-4240-8FD5-768E1E4FA752}"/>
    <hyperlink ref="B113" tooltip="nuoroda i brezini" display="VS-85" xr:uid="{8886D33B-B21F-438B-A68A-D3B7EEE7F84B}"/>
    <hyperlink ref="B114" tooltip="nuoroda i brezini" display="3LS-177" xr:uid="{2AB99D6F-5973-48EC-B603-BD0CC904A6AB}"/>
    <hyperlink ref="B115" tooltip="nuoroda i brezini" display="VS-33" xr:uid="{12B450A0-6AE4-4BB3-9430-E856FA07712B}"/>
    <hyperlink ref="B116" tooltip="nuoroda i brezini" display="VS-59" xr:uid="{A3BB7D7E-3558-4B83-8493-6B44AC1C7CBD}"/>
    <hyperlink ref="B117" tooltip="nuoroda i brezini" display="1PS-26" xr:uid="{FB09D4FE-2643-4DD7-BEA4-2F8FF8675CCF}"/>
    <hyperlink ref="B118" tooltip="nuoroda i brezini" display="3LS-171" xr:uid="{64E4DBF5-A49F-4810-B18E-E145EE684E6F}"/>
    <hyperlink ref="B119" tooltip="nuoroda i brezini" display="VS-60" xr:uid="{42D2C02B-F15A-4E6D-800B-81A2C4200356}"/>
    <hyperlink ref="B120" tooltip="nuoroda i brezini" display="1PS-91" xr:uid="{F8FD047F-81A2-4879-BE01-E7167696FC87}"/>
    <hyperlink ref="B121" tooltip="nuoroda i brezini" display="VS-115" xr:uid="{337E77EA-2283-4D65-838A-16D056B39997}"/>
    <hyperlink ref="B122" tooltip="nuoroda i brezini" display="3LS-53" xr:uid="{C7AA9C7E-7C80-4F86-BA4E-AABBCB4C5E65}"/>
    <hyperlink ref="B123" tooltip="nuoroda i brezini" display="VS-28" xr:uid="{43819A37-6223-426F-BAEB-E7B82114D559}"/>
    <hyperlink ref="B124" tooltip="nuoroda i brezini" display="3LS-253" xr:uid="{D072B568-48A8-44B4-9A0E-759A216A6074}"/>
    <hyperlink ref="B125" tooltip="nuoroda i brezini" display="VS-46" xr:uid="{28D25605-9DD4-4BA2-ADB0-E7DC704CA505}"/>
    <hyperlink ref="B126" tooltip="nuoroda i brezini" display="3LS-57" xr:uid="{3B718FD5-453C-4868-A3D7-3693DD78B1DA}"/>
    <hyperlink ref="B127" tooltip="nuoroda i brezini" display="VS-125" xr:uid="{C595C845-CF47-4F5F-937E-4ECE84595D70}"/>
    <hyperlink ref="B128" tooltip="nuoroda i brezini" display="VS-57" xr:uid="{669CB2AB-4FDB-42B5-8E3A-EE8C54730678}"/>
    <hyperlink ref="B129" tooltip="nuoroda i brezini" display="VS-27" xr:uid="{A65C82E3-AE9B-4C0E-909D-5563C2CA551E}"/>
    <hyperlink ref="B130" tooltip="nuoroda i brezini" display="VS-97" xr:uid="{EAE90C29-A3EF-4806-9589-236A5CADB27E}"/>
    <hyperlink ref="B131" tooltip="nuoroda i brezini" display="1PS-13" xr:uid="{E51E30E6-3F76-4103-BBEF-F69D7BC5CD7A}"/>
    <hyperlink ref="B132" tooltip="nuoroda i brezini" display="VS-41" xr:uid="{925753B5-2502-4AAE-8F3D-6B7BF22EE9BB}"/>
    <hyperlink ref="B133" tooltip="nuoroda i brezini" display="VS-94" xr:uid="{F34E082B-A031-4823-8EB7-7E710ED9D983}"/>
    <hyperlink ref="B134" tooltip="nuoroda i brezini" display="VS-93" xr:uid="{64E9221B-AACB-4ED5-A798-EDD78F57DA4C}"/>
    <hyperlink ref="B135" tooltip="nuoroda i brezini" display="VS-61" xr:uid="{5D48401C-BF59-4FFE-8E6E-2E2A73999697}"/>
    <hyperlink ref="B136" tooltip="nuoroda i brezini" display="VS-44" xr:uid="{EBF0C2AD-00FF-4CB1-9468-91A4B5C29D23}"/>
    <hyperlink ref="B137" tooltip="nuoroda i brezini" display="VS-27" xr:uid="{32F40470-B951-4774-A257-60016BC9DD35}"/>
    <hyperlink ref="B138" tooltip="nuoroda i brezini" display="3LS-180" xr:uid="{9BD98CC7-C78D-4CDD-9ABC-02F33646CE61}"/>
    <hyperlink ref="B139" tooltip="nuoroda i brezini" display="VS-118" xr:uid="{577E76D6-7497-4251-9064-D91B7AAD20AB}"/>
    <hyperlink ref="B140" tooltip="nuoroda i brezini" display="3LS-58" xr:uid="{EE664002-47DC-4704-BA59-A34296A29067}"/>
    <hyperlink ref="B141" tooltip="nuoroda i brezini" display="VS-45" xr:uid="{AE2F5B0B-73A8-4C86-91A8-0B52758E562D}"/>
    <hyperlink ref="B142" tooltip="nuoroda i brezini" display="VS-112" xr:uid="{44F6CD7B-6BCD-4A79-9D10-B41BE3943D5E}"/>
    <hyperlink ref="B143" tooltip="nuoroda i brezini" display="3LS-160" xr:uid="{EE28B142-D2EA-400D-8911-48F230651742}"/>
    <hyperlink ref="B144" tooltip="nuoroda i brezini" display="VS-49" xr:uid="{0453007E-8E6E-45E6-9501-6D43D18EDBC0}"/>
    <hyperlink ref="B145" tooltip="nuoroda i brezini" display="3LS-110" xr:uid="{C1B513A2-664F-479C-8ABD-9DA3CD257E32}"/>
    <hyperlink ref="B146" tooltip="nuoroda i brezini" display="3LS-59" xr:uid="{1204A412-117D-441D-8E58-5492F10D3A46}"/>
    <hyperlink ref="B147" tooltip="nuoroda i brezini" display="1PS-89" xr:uid="{809BEA0A-F3F5-4F6D-B2DD-5A937E12524A}"/>
    <hyperlink ref="B148" tooltip="nuoroda i brezini" display="VS-46" xr:uid="{D5D570A6-9DE5-4565-BC2F-6BE6D0DFB55E}"/>
    <hyperlink ref="B149" tooltip="nuoroda i brezini" display="3LS-194" xr:uid="{2401705F-BBEC-4387-9E5A-0E3B620F3C57}"/>
    <hyperlink ref="B150" tooltip="nuoroda i brezini" display="VS-135" xr:uid="{8830A0F3-3912-4D99-8E8A-DBF4E63232C5}"/>
    <hyperlink ref="B151" tooltip="nuoroda i brezini" display="3LS-80" xr:uid="{16CFE203-6DB8-43B6-979A-A7701051519B}"/>
    <hyperlink ref="B152" tooltip="nuoroda i brezini" display="VS-30" xr:uid="{68827ACE-52D5-41C8-9134-ED74F65353C7}"/>
    <hyperlink ref="B153" tooltip="nuoroda i brezini" display="VS-92" xr:uid="{B5C77615-7E55-498D-A1D7-C95D5ABDC1ED}"/>
    <hyperlink ref="B154" tooltip="nuoroda i brezini" display="1PS-20" xr:uid="{CB8B9391-ACB1-41B3-BED8-4FB1EB9EB327}"/>
    <hyperlink ref="B155" tooltip="nuoroda i brezini" display="VS-3" xr:uid="{CE50525E-E0CA-4765-8ADC-6DE9914A9397}"/>
    <hyperlink ref="B156" tooltip="nuoroda i brezini" display="VS-88" xr:uid="{8F163F0A-B549-437B-A9DB-523DB1F4C872}"/>
    <hyperlink ref="B157" tooltip="nuoroda i brezini" display="VS-71" xr:uid="{F02CBE72-E785-4A2E-AA2A-EBD558AAA5C7}"/>
    <hyperlink ref="B158" tooltip="nuoroda i brezini" display="VS-113" xr:uid="{1AFCB1E3-87E9-4135-BDB6-24042D30BC3B}"/>
    <hyperlink ref="B159" tooltip="nuoroda i brezini" display="1PS-23" xr:uid="{10914AF4-A5CB-4B3F-9FC6-91BD01D5F450}"/>
    <hyperlink ref="B160" tooltip="nuoroda i brezini" display="VS-75" xr:uid="{90BDA0B2-BE05-433B-9B7A-ACF525E928AB}"/>
    <hyperlink ref="B161" tooltip="nuoroda i brezini" display="3LS-33" xr:uid="{B40AC657-1CD1-487C-ADB0-8B87DC3F2E15}"/>
    <hyperlink ref="B162" tooltip="nuoroda i brezini" display="3LS-47" xr:uid="{448A439C-AB00-4783-9CD7-9E40C974C204}"/>
    <hyperlink ref="B163" tooltip="nuoroda i brezini" display="VS-72" xr:uid="{C7E3E5BE-5E31-4D35-8EBA-C43C651E2D4A}"/>
    <hyperlink ref="B164" tooltip="nuoroda i brezini" display="VS-20" xr:uid="{75B832F3-723E-436F-9950-D2F6931EB8C3}"/>
    <hyperlink ref="B165" tooltip="nuoroda i brezini" display="3LS-89" xr:uid="{6D2A3A52-1142-4A71-AB3D-4B7A96BB7E7C}"/>
    <hyperlink ref="B166" tooltip="nuoroda i brezini" display="VS-50" xr:uid="{E30DACC3-7D1E-46BB-8CCA-FB80CA2B3E26}"/>
    <hyperlink ref="B167" tooltip="nuoroda i brezini" display="VS-25" xr:uid="{2A83F116-D362-4356-9971-53648726906D}"/>
    <hyperlink ref="B168" tooltip="nuoroda i brezini" display="VS-104" xr:uid="{55C902DB-CA0A-43CC-91F6-2D3067BF260E}"/>
    <hyperlink ref="B169" tooltip="nuoroda i brezini" display="VS-54" xr:uid="{A91DDDE5-F0BF-45D0-BE92-CE4E14BE2EED}"/>
    <hyperlink ref="B170" tooltip="nuoroda i brezini" display="VS-287" xr:uid="{D90B98BF-CFD5-4474-8ACF-844F6D99C802}"/>
    <hyperlink ref="B171" tooltip="nuoroda i brezini" display="3LS-246" xr:uid="{8A2D0D02-6CC5-484F-BB69-66A352E44E01}"/>
    <hyperlink ref="B172" tooltip="nuoroda i brezini" display="VS-289" xr:uid="{3B072D0F-B2B0-43A4-AD71-5F1A6B836956}"/>
    <hyperlink ref="B173" tooltip="nuoroda i brezini" display="1PS-22" xr:uid="{B4D03D90-BC46-4E91-9250-F340AF56AE3E}"/>
    <hyperlink ref="B174" tooltip="nuoroda i brezini" display="VS-55" xr:uid="{6DE6732B-F201-40F1-9834-5B132F30C3F1}"/>
    <hyperlink ref="B175" tooltip="nuoroda i brezini" display="VS-87" xr:uid="{9E6585E3-B36D-44FD-BF54-204F1526D856}"/>
    <hyperlink ref="B176" tooltip="nuoroda i brezini" display="VS-28" xr:uid="{608A636E-47DD-4A6C-BD4C-D36A86CA6A39}"/>
    <hyperlink ref="B177" tooltip="nuoroda i brezini" display="3LS-36" xr:uid="{F3133D20-819B-4C76-875C-7A56010FE13B}"/>
    <hyperlink ref="B178" tooltip="nuoroda i brezini" display="3LS-5" xr:uid="{0953D3D7-53E9-431F-873B-CDDC11B33F8C}"/>
    <hyperlink ref="B179" tooltip="nuoroda i brezini" display="VS-102" xr:uid="{7CFBEBEF-6BD9-4713-B502-339184F97300}"/>
    <hyperlink ref="B180" tooltip="nuoroda i brezini" display="3LS-18" xr:uid="{EE01A15C-A352-4175-829D-968E720B78ED}"/>
    <hyperlink ref="B181" tooltip="nuoroda i brezini" display="VS-72" xr:uid="{549C3D31-1D0E-49A4-930F-3EDD4ADBE324}"/>
    <hyperlink ref="B182" tooltip="nuoroda i brezini" display="1PS-24" xr:uid="{C3758CDF-0346-4581-A0C9-A184189EFAED}"/>
    <hyperlink ref="B183" tooltip="nuoroda i brezini" display="3LS-157" xr:uid="{58DD5592-D59D-4B24-9197-D4C0EDC3440F}"/>
    <hyperlink ref="B184" tooltip="nuoroda i brezini" display="3LS-97" xr:uid="{19CC72AA-934C-4F33-AB87-FCC4B6341B13}"/>
    <hyperlink ref="B185" tooltip="nuoroda i brezini" display="VS-82" xr:uid="{25313CA7-24A1-4AAD-9DC1-5BCF052B599A}"/>
    <hyperlink ref="B186" tooltip="nuoroda i brezini" display="VS-19" xr:uid="{2C301E48-7F37-46AD-AD7A-31283F9274FB}"/>
    <hyperlink ref="B187" tooltip="nuoroda i brezini" display="VS-35" xr:uid="{C381DC4E-5843-4884-91E0-1E89A4EDE841}"/>
    <hyperlink ref="B188" tooltip="nuoroda i brezini" display="VS-121" xr:uid="{4D7D317B-C587-4B25-8167-D17CF2B540E3}"/>
    <hyperlink ref="B189" tooltip="nuoroda i brezini" display="3LS-116" xr:uid="{1B3AA67B-97FF-4C0D-861F-BF340AF366D9}"/>
    <hyperlink ref="B190" tooltip="nuoroda i brezini" display="3LS-97" xr:uid="{9C973D78-B062-467B-8F34-006B330EAF82}"/>
    <hyperlink ref="B191" tooltip="nuoroda i brezini" display="VS-113" xr:uid="{2A2BE4D6-C09B-4110-92F6-0CDF8BD2EC10}"/>
    <hyperlink ref="B192" tooltip="nuoroda i brezini" display="VS-112" xr:uid="{7F839A59-AF50-41E9-BD72-43FD984F9446}"/>
    <hyperlink ref="B193" tooltip="nuoroda i brezini" display="VS-52" xr:uid="{818BB6E4-9129-4829-8DBA-7233FF858FD4}"/>
    <hyperlink ref="B194" tooltip="nuoroda i brezini" display="3LS-165" xr:uid="{9704E1C1-973C-4E48-976F-168440335B6C}"/>
    <hyperlink ref="B195" tooltip="nuoroda i brezini" display="3LS-30" xr:uid="{6FF217B8-2026-42CB-9D6C-ACB1D8EC5C77}"/>
    <hyperlink ref="B196" tooltip="nuoroda i brezini" display="VS-79" xr:uid="{905F3E0A-E94A-4056-90A0-5600D1BA3149}"/>
    <hyperlink ref="B197" tooltip="nuoroda i brezini" display="VS-25" xr:uid="{6C674459-74A7-47D6-B652-8AB649EA332D}"/>
    <hyperlink ref="B198" tooltip="nuoroda i brezini" display="VS-102" xr:uid="{D4918ABB-6071-431B-AB32-5FA0528388B9}"/>
    <hyperlink ref="B199" tooltip="nuoroda i brezini" display="3LS-46" xr:uid="{E3650421-6D6F-48E2-AF8D-FA94B8C119CA}"/>
    <hyperlink ref="B200" tooltip="nuoroda i brezini" display="1PS-21" xr:uid="{B3115210-0549-48FB-B5CA-67595A076173}"/>
    <hyperlink ref="B201" tooltip="nuoroda i brezini" display="VS-80" xr:uid="{56DEBE35-FD7E-4B7E-B3DC-8BB5621B541D}"/>
    <hyperlink ref="B202" tooltip="nuoroda i brezini" display="3LS-70" xr:uid="{C60989CE-0D5E-44EF-8FBC-E168AFB2BD89}"/>
    <hyperlink ref="B203" tooltip="nuoroda i brezini" display="VS-78" xr:uid="{0906658B-230F-458E-9220-D3F3387A2E52}"/>
    <hyperlink ref="B204" tooltip="nuoroda i brezini" display="VS-63" xr:uid="{E7BD454A-2250-460F-8432-38A927730935}"/>
    <hyperlink ref="B205" tooltip="nuoroda i brezini" display="VS-83" xr:uid="{6CE09C3D-1193-49B7-AAF2-527C30209744}"/>
    <hyperlink ref="B206" tooltip="nuoroda i brezini" display="VS-97" xr:uid="{E1DCBBAD-E1BB-46B6-B94E-DF286A7095B1}"/>
    <hyperlink ref="B207" tooltip="nuoroda i brezini" display="3LS-111" xr:uid="{DB4FC9C6-0BB7-4926-AEC0-265A923C2CCA}"/>
    <hyperlink ref="B208" tooltip="nuoroda i brezini" display="3LS-157" xr:uid="{FA114E50-7935-4650-A4D6-A93B68F8B0A2}"/>
    <hyperlink ref="B209" tooltip="nuoroda i brezini" display="VS-23" xr:uid="{6332C6FF-FEBB-4078-B392-D99F88FE3CF4}"/>
    <hyperlink ref="B210" tooltip="nuoroda i brezini" display="VS-135" xr:uid="{4F7CE06C-40C4-49C3-915C-27D51B05FF38}"/>
    <hyperlink ref="B211" tooltip="nuoroda i brezini" display="3LS-53" xr:uid="{186BB9EB-1A81-4051-B2BE-F784B90325FD}"/>
    <hyperlink ref="B212" tooltip="nuoroda i brezini" display="VS-44" xr:uid="{D69C0F48-BA96-4490-A518-810D8BB82626}"/>
    <hyperlink ref="B213" tooltip="nuoroda i brezini" display="3LS-71" xr:uid="{458E0222-2D24-4AA5-A676-C7C94EEC1BF4}"/>
    <hyperlink ref="B214" tooltip="nuoroda i brezini" display="3LS-42" xr:uid="{59AC08F7-E6A7-4037-A3DB-9F9020EEE772}"/>
    <hyperlink ref="B215" tooltip="nuoroda i brezini" display="VS-44" xr:uid="{FBFC27C0-D69D-41BB-BC11-1914C8FA401E}"/>
    <hyperlink ref="B216" tooltip="nuoroda i brezini" display="3LS-57" xr:uid="{BCE57316-FD10-4610-BF2B-558F73F8FEF5}"/>
    <hyperlink ref="B217" tooltip="nuoroda i brezini" display="VS-82" xr:uid="{9FFC4B06-FCFD-46E0-B813-54394AFE104F}"/>
    <hyperlink ref="B218" tooltip="nuoroda i brezini" display="3LS-4" xr:uid="{FB451762-E4A9-4FF3-A2B9-EFD18B9B98A9}"/>
    <hyperlink ref="B219" tooltip="nuoroda i brezini" display="VS-95" xr:uid="{6FAF62F2-1A88-43F8-9580-6CB919F347F0}"/>
    <hyperlink ref="B220" tooltip="nuoroda i brezini" display="3LS-180" xr:uid="{11C0C953-5F88-4C2D-8FD3-A6AE109FBE3F}"/>
    <hyperlink ref="B221" tooltip="nuoroda i brezini" display="3LS-6" xr:uid="{278B8AB0-F89C-4037-8A93-9D4696D8E0BC}"/>
    <hyperlink ref="B222" tooltip="nuoroda i brezini" display="VS-92" xr:uid="{D61D4772-95D3-45C7-8ABC-F79AFC595E61}"/>
    <hyperlink ref="B223" tooltip="nuoroda i brezini" display="1PS-15" xr:uid="{1F6DB7F4-0F13-4C29-869C-54C716BA0C8E}"/>
    <hyperlink ref="B224" tooltip="nuoroda i brezini" display="3LS-108" xr:uid="{50685405-2E3A-4BB9-8F76-DD2A74685F91}"/>
    <hyperlink ref="B225" tooltip="nuoroda i brezini" display="VS-31" xr:uid="{C2A0B67E-FEBE-419B-84C0-F84C89D63F33}"/>
    <hyperlink ref="B226" tooltip="nuoroda i brezini" display="3LS-38" xr:uid="{DEECF25F-34CF-4D89-B22C-8ADB1BE74138}"/>
    <hyperlink ref="B227" tooltip="nuoroda i brezini" display="VS-51" xr:uid="{B54A9DE5-778B-4062-A3BE-99F06E3DE554}"/>
    <hyperlink ref="B228" tooltip="nuoroda i brezini" display="3LS-131" xr:uid="{2D8C1062-D18A-45FC-967C-0CD3A3C73407}"/>
    <hyperlink ref="B229" tooltip="nuoroda i brezini" display="VS-47" xr:uid="{01FF532C-6485-4AB9-A883-867BD832E78B}"/>
    <hyperlink ref="B230" tooltip="nuoroda i brezini" display="VS-19" xr:uid="{290AB547-CCFB-4E7E-B3A9-B8430DD00DFC}"/>
    <hyperlink ref="B231" tooltip="nuoroda i brezini" display="1PS-14" xr:uid="{F2DEA2A4-B25E-4888-998C-51DED29344A5}"/>
    <hyperlink ref="B232" tooltip="nuoroda i brezini" display="3LS-34" xr:uid="{D6EC6622-FB2E-4D1B-B609-B1B0A9085E07}"/>
    <hyperlink ref="B233" tooltip="nuoroda i brezini" display="3LS-38" xr:uid="{94F19C13-7967-434B-9CDE-8C7DD2974D52}"/>
    <hyperlink ref="B234" tooltip="nuoroda i brezini" display="VS-77" xr:uid="{B96096E6-B699-4646-A29E-665CBEAE835F}"/>
    <hyperlink ref="B235" tooltip="nuoroda i brezini" display="3LS-68" xr:uid="{544145F6-E001-4FB6-90F6-BF8DBFCF7E2C}"/>
    <hyperlink ref="B236" tooltip="nuoroda i brezini" display="3LS-77" xr:uid="{F62BD7F8-2CFD-4539-BAB4-A1DAE05EF3D6}"/>
    <hyperlink ref="B237" tooltip="nuoroda i brezini" display="VS-112" xr:uid="{7668AEA9-D325-423B-B0AC-A4ED8B614AA7}"/>
    <hyperlink ref="B238" tooltip="nuoroda i brezini" display="3LS-69" xr:uid="{283A2524-34B5-4063-9BD7-DD5E22AAC8A1}"/>
    <hyperlink ref="B239" tooltip="nuoroda i brezini" display="VS-7" xr:uid="{2213D0DF-3373-441E-A06E-2CB6478919C4}"/>
    <hyperlink ref="B240" tooltip="nuoroda i brezini" display="VS-125" xr:uid="{B870C692-56AA-4D35-A6FE-2CE07CB23C94}"/>
    <hyperlink ref="B241" tooltip="nuoroda i brezini" display="3LS-199" xr:uid="{06EAA552-3BFA-4394-A9EC-0D3B3FF21AFA}"/>
    <hyperlink ref="B242" tooltip="nuoroda i brezini" display="VS-113" xr:uid="{35F0DB3B-111F-4E4C-920B-15632A2F0EF4}"/>
    <hyperlink ref="B243" tooltip="nuoroda i brezini" display="VS-72" xr:uid="{83926E3E-F611-4FD5-B64F-97EA8EB44A09}"/>
    <hyperlink ref="B244" tooltip="nuoroda i brezini" display="VS-41" xr:uid="{D7508B88-9DFD-4D10-90E8-617F3D950A12}"/>
    <hyperlink ref="B245" tooltip="nuoroda i brezini" display="VS-32" xr:uid="{0CDF2F08-3E6B-4C69-932F-C347FBF3082D}"/>
    <hyperlink ref="B246" tooltip="nuoroda i brezini" display="VS-20" xr:uid="{EC8F582E-141F-4280-8331-45BB7BD292A2}"/>
    <hyperlink ref="B247" tooltip="nuoroda i brezini" display="VS-92" xr:uid="{66AFE411-474A-4A45-A8B2-058F0EF8D42D}"/>
    <hyperlink ref="B248" tooltip="nuoroda i brezini" display="3LS-109" xr:uid="{BC31F814-CABB-4A9C-8462-63181335B6D0}"/>
    <hyperlink ref="B249" tooltip="nuoroda i brezini" display="3LS-75" xr:uid="{C299129D-F7C2-4DA4-981D-3D21815B70C1}"/>
    <hyperlink ref="B250" tooltip="nuoroda i brezini" display="VS-74" xr:uid="{B8C8B334-6338-4F54-B12D-40667DC87789}"/>
    <hyperlink ref="B251" tooltip="nuoroda i brezini" display="1PS-21" xr:uid="{B2AB4C77-64BF-4A05-9C2A-3B9225EE8FDB}"/>
    <hyperlink ref="B252" tooltip="nuoroda i brezini" display="VS-22" xr:uid="{5431F874-CBD0-415B-B91C-4CDE193560E6}"/>
    <hyperlink ref="B253" tooltip="nuoroda i brezini" display="3LS-37" xr:uid="{60C9E220-B1BC-4073-BD6D-390D82848FE9}"/>
    <hyperlink ref="B254" tooltip="nuoroda i brezini" display="3LS-13" xr:uid="{8A6D1BF9-751F-49ED-8CD2-B1E5F88FB36E}"/>
    <hyperlink ref="B255" tooltip="nuoroda i brezini" display="3LS-224" xr:uid="{2EA3F527-E88D-421B-806D-E8608CFCAD25}"/>
    <hyperlink ref="B256" tooltip="nuoroda i brezini" display="3LS-19" xr:uid="{CDF984CD-E1DF-4FF8-8CCD-0937686C485A}"/>
    <hyperlink ref="B257" tooltip="nuoroda i brezini" display="VS-98" xr:uid="{6B72E54D-600B-4935-A1D9-C862461E6D25}"/>
    <hyperlink ref="B258" tooltip="nuoroda i brezini" display="3LS-161" xr:uid="{96B36569-7871-44AA-9D96-D95E9019CDBA}"/>
    <hyperlink ref="B259" tooltip="nuoroda i brezini" display="VS-71" xr:uid="{DFD51FEA-71EA-41BA-8D86-5E422E043157}"/>
    <hyperlink ref="B260" tooltip="nuoroda i brezini" display="VS-83" xr:uid="{E3D9BA5D-D240-46A4-A22B-822B590CFEED}"/>
    <hyperlink ref="B261" tooltip="nuoroda i brezini" display="1PS-25" xr:uid="{9D451107-B5E4-428A-A0F4-4DA9885BA072}"/>
    <hyperlink ref="B262" tooltip="nuoroda i brezini" display="VS-25" xr:uid="{0792A598-6848-43CF-99CE-48048A1B8740}"/>
    <hyperlink ref="B263" tooltip="nuoroda i brezini" display="VS-136" xr:uid="{1E29FD16-A772-4AC1-B6F9-2717EAEEADF7}"/>
    <hyperlink ref="B264" tooltip="nuoroda i brezini" display="1PS-19" xr:uid="{17D17CEC-6FFE-4BAF-978F-DADAE73B7220}"/>
    <hyperlink ref="B265" tooltip="nuoroda i brezini" display="VS-81" xr:uid="{77F9E97F-5D6A-4770-98DE-D9EA7E99A026}"/>
    <hyperlink ref="B266" tooltip="nuoroda i brezini" display="3LS-114" xr:uid="{258FE8B0-AA72-4A0A-9C97-CA89BF4F6880}"/>
    <hyperlink ref="B267" tooltip="nuoroda i brezini" display="VS-51" xr:uid="{7182FA7E-31AE-42E2-A0E3-774FFC396738}"/>
    <hyperlink ref="B268" tooltip="nuoroda i brezini" display="VS-70" xr:uid="{FA2FDE2B-93CB-4A5B-9B3C-951D3C672BF8}"/>
    <hyperlink ref="B269" tooltip="nuoroda i brezini" display="3LS-16" xr:uid="{0A58E047-D753-4B9B-821F-DD89550048C0}"/>
    <hyperlink ref="B270" tooltip="nuoroda i brezini" display="VS-22" xr:uid="{8DCA6502-393D-4BA0-BB3F-18E15E134A8F}"/>
    <hyperlink ref="B271" tooltip="nuoroda i brezini" display="VS-62" xr:uid="{892EB669-4698-4D5C-AE1F-45DB602CF499}"/>
    <hyperlink ref="B272" tooltip="nuoroda i brezini" display="VS-27" xr:uid="{44609F01-3A3A-4BB9-AC67-B06BE86DDB25}"/>
    <hyperlink ref="B273" tooltip="nuoroda i brezini" display="VS-70" xr:uid="{79119A34-BFD2-413B-BA39-26C29C8E1BC5}"/>
    <hyperlink ref="B274" tooltip="nuoroda i brezini" display="3LS-33" xr:uid="{B0AEEE0D-EE14-430D-A74F-098CF1AADB59}"/>
    <hyperlink ref="B275" tooltip="nuoroda i brezini" display="1PS-27" xr:uid="{722F308D-3D71-4BC0-83C8-E7DDD86F73D4}"/>
    <hyperlink ref="B276" tooltip="nuoroda i brezini" display="3LS-127" xr:uid="{F0D22F1A-50F8-4EB8-9986-B01BB4661CBF}"/>
    <hyperlink ref="B277" tooltip="nuoroda i brezini" display="VS-64" xr:uid="{38D28D61-A95D-43F3-9CD7-3A769D48141A}"/>
    <hyperlink ref="B278" tooltip="nuoroda i brezini" display="VS-45" xr:uid="{95950F60-B4ED-49EB-BF9B-4AE08690E993}"/>
    <hyperlink ref="B279" tooltip="nuoroda i brezini" display="3LS-53" xr:uid="{FBBDD717-9400-4BED-9472-DB154AEE303D}"/>
    <hyperlink ref="B280" tooltip="nuoroda i brezini" display="VS-135" xr:uid="{0EAFE175-0EE4-4BBE-828F-8788C7A93103}"/>
    <hyperlink ref="B281" tooltip="nuoroda i brezini" display="VS-28" xr:uid="{27A5B092-9B0A-43EA-9399-6D99C8BB9D2F}"/>
    <hyperlink ref="B282" tooltip="nuoroda i brezini" display="VS-45" xr:uid="{490E0B7B-696F-42CE-9224-164A1F867BEB}"/>
    <hyperlink ref="B283" tooltip="nuoroda i brezini" display="VS-102" xr:uid="{47E1B9B3-BC94-44BA-94BF-65EFF91A1505}"/>
    <hyperlink ref="B284" tooltip="nuoroda i brezini" display="VS-92" xr:uid="{26C38F83-884D-46E1-A0C2-35684A7B162B}"/>
    <hyperlink ref="B285" tooltip="nuoroda i brezini" display="VS-97" xr:uid="{7EF6D533-C894-4DF4-8E5E-82075BC9F498}"/>
    <hyperlink ref="B286" tooltip="nuoroda i brezini" display="VS-218" xr:uid="{AF8B7004-5547-4580-AE65-50655CF08151}"/>
    <hyperlink ref="B287" tooltip="nuoroda i brezini" display="VS-40" xr:uid="{9256739F-9D60-4CEF-85AA-D01D9F1857E5}"/>
    <hyperlink ref="B288" tooltip="nuoroda i brezini" display="3LS-49" xr:uid="{856C2E4F-7FFE-4F61-9F95-018AAE121CAB}"/>
    <hyperlink ref="B289" tooltip="nuoroda i brezini" display="VS-109" xr:uid="{07900657-0B95-4AB3-930C-FD77DBA9DE4A}"/>
    <hyperlink ref="B290" tooltip="nuoroda i brezini" display="3LS-23" xr:uid="{22789F51-3B0F-457A-9C17-D6CA741FF8BD}"/>
    <hyperlink ref="B291" tooltip="nuoroda i brezini" display="3LS-40" xr:uid="{79F6DF95-61B0-492C-87A8-8B79A68664EE}"/>
    <hyperlink ref="B292" tooltip="nuoroda i brezini" display="VS-86" xr:uid="{97FAB7A7-D1CF-4813-BABB-1DC70A990BF9}"/>
    <hyperlink ref="B293" tooltip="nuoroda i brezini" display="3LS-36" xr:uid="{F5151B13-410C-40CE-AAF8-2D5042FEB0AD}"/>
    <hyperlink ref="B294" tooltip="nuoroda i brezini" display="3LS-80" xr:uid="{34473598-6C1E-408F-B57C-BCB7B7DD05B8}"/>
    <hyperlink ref="B295" tooltip="nuoroda i brezini" display="VS-12" xr:uid="{E93EC9F9-D2C2-4CEA-B7C3-A3B15764A760}"/>
    <hyperlink ref="B296" tooltip="nuoroda i brezini" display="3LS-53" xr:uid="{BD9C277E-4254-4DDC-98BF-5FAE190400DA}"/>
    <hyperlink ref="B297" tooltip="nuoroda i brezini" display="VS-23" xr:uid="{FB6F1C50-031E-485A-A600-77BAB2874DCA}"/>
    <hyperlink ref="B298" tooltip="nuoroda i brezini" display="VS-70" xr:uid="{D1F5B2FA-E1EE-4E32-A3CD-BB9F1796C975}"/>
    <hyperlink ref="B299" tooltip="nuoroda i brezini" display="VS-82" xr:uid="{62F0111F-98E8-4686-B7A2-0D09D69C97AC}"/>
    <hyperlink ref="B300" tooltip="nuoroda i brezini" display="3LS-18" xr:uid="{18B9E58F-AE78-4174-8B41-9063DC12459A}"/>
    <hyperlink ref="B301" tooltip="nuoroda i brezini" display="3LS-8" xr:uid="{4E9E6B43-7DF1-4D0A-8445-3EDA74A756C7}"/>
    <hyperlink ref="B302" tooltip="nuoroda i brezini" display="3LS-199" xr:uid="{27F467CA-12F1-4C38-B8C9-F49EA041FC04}"/>
    <hyperlink ref="B303" tooltip="nuoroda i brezini" display="3LS-21" xr:uid="{CD24B4A6-B4E6-49C6-8545-7B12B1220345}"/>
    <hyperlink ref="B304" tooltip="nuoroda i brezini" display="1PS-78" xr:uid="{842B5358-C685-4D6B-B2F4-C154797BF42E}"/>
    <hyperlink ref="B305" tooltip="nuoroda i brezini" display="VS-27" xr:uid="{C0B8B04E-9B0B-4127-B74B-39C4757539A7}"/>
    <hyperlink ref="B306" tooltip="nuoroda i brezini" display="VS-258" xr:uid="{8952217F-D12A-46A6-BE6A-FC34312E2B71}"/>
    <hyperlink ref="B307" tooltip="nuoroda i brezini" display="VS-288" xr:uid="{68D5088A-CCBB-418A-A28B-79FB25FD9989}"/>
    <hyperlink ref="B308" tooltip="nuoroda i brezini" display="VS-25" xr:uid="{C1A24A0C-47E8-4D7E-8D03-2D62F5E55695}"/>
    <hyperlink ref="B309" tooltip="nuoroda i brezini" display="3LS-11" xr:uid="{7D022471-F095-42FC-88FD-195969E0903C}"/>
    <hyperlink ref="B310" tooltip="nuoroda i brezini" display="3LS-9" xr:uid="{70B52105-91AC-464C-9A64-93123B2CF29C}"/>
    <hyperlink ref="B311" tooltip="nuoroda i brezini" display="3LS-1" xr:uid="{56183AAA-5B64-4AF2-8765-31733DB34E52}"/>
    <hyperlink ref="B312" tooltip="nuoroda i brezini" display="3LS-10" xr:uid="{978FF946-5232-4759-9F4B-5203FAF93439}"/>
    <hyperlink ref="B313" tooltip="nuoroda i brezini" display="3LS-12" xr:uid="{88C73D67-38B5-48F4-B35D-01EAE6C710C2}"/>
    <hyperlink ref="B314" tooltip="nuoroda i brezini" display="3LS-182" xr:uid="{8A2FAE42-FF90-4C3B-9013-124FBF467B66}"/>
    <hyperlink ref="B315" tooltip="nuoroda i brezini" display="3LS-182" xr:uid="{BED46586-C958-41DC-B264-7060EEB43516}"/>
    <hyperlink ref="B316" tooltip="nuoroda i brezini" display="3LS-22" xr:uid="{51A56934-BAAF-4AE0-864D-F9FD432D1509}"/>
    <hyperlink ref="B317" tooltip="nuoroda i brezini" display="3LS-35" xr:uid="{97433BE5-BE2E-4CE4-A63D-9B727FD91C33}"/>
  </hyperlinks>
  <pageMargins left="0.7" right="0.7" top="0.75" bottom="0.75" header="0.3" footer="0.3"/>
  <pageSetup paperSize="9" scale="10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98DDE829-CCF3-4DD0-AA60-AD23CF6323EC}">
            <xm:f>($AR1="taip")*($M1&lt;&gt;"")*(INDEX(planas!$D:$D,MATCH($BA1,planas!$BA:$BA,0))&gt;=WORKDAY($M1,-1))</xm:f>
            <x14:dxf>
              <font>
                <b val="0"/>
                <i val="0"/>
                <color rgb="FFFF0000"/>
              </font>
            </x14:dxf>
          </x14:cfRule>
          <xm:sqref>A1:BC1048576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>
    <tabColor rgb="FF00B0F0"/>
  </sheetPr>
  <dimension ref="A1"/>
  <sheetViews>
    <sheetView zoomScale="70" zoomScaleNormal="70" workbookViewId="0">
      <selection activeCell="Y50" sqref="Y50"/>
    </sheetView>
  </sheetViews>
  <sheetFormatPr defaultRowHeight="14.4" x14ac:dyDescent="0.3"/>
  <cols>
    <col min="1" max="1" width="2.6640625" customWidth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0" tint="-0.249977111117893"/>
  </sheetPr>
  <dimension ref="A1:B2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3.8" x14ac:dyDescent="0.3"/>
  <cols>
    <col min="1" max="1" width="24" style="128" bestFit="1" customWidth="1"/>
    <col min="2" max="2" width="85.88671875" style="128" bestFit="1" customWidth="1"/>
    <col min="3" max="16384" width="9.109375" style="128"/>
  </cols>
  <sheetData>
    <row r="1" spans="1:2" x14ac:dyDescent="0.3">
      <c r="A1" s="127" t="s">
        <v>0</v>
      </c>
      <c r="B1" s="127" t="s">
        <v>1</v>
      </c>
    </row>
    <row r="2" spans="1:2" ht="15.6" x14ac:dyDescent="0.3">
      <c r="A2" s="129" t="s">
        <v>192</v>
      </c>
      <c r="B2" s="129" t="s">
        <v>237</v>
      </c>
    </row>
    <row r="3" spans="1:2" x14ac:dyDescent="0.3">
      <c r="A3" s="127" t="s">
        <v>12</v>
      </c>
      <c r="B3" s="130">
        <f t="array" ref="B3">INDEX(table_stalai[Reikšmė],MATCH(INDEX(table_nustatymai[Reikšmė],MATCH("stalo pavadinimas",table_nustatymai[Parametras],0))&amp;table_nustatymai[[#This Row],[Parametras]],table_stalai[Stalo pavadinimas]&amp;table_stalai[Parametras],0))</f>
        <v>13000</v>
      </c>
    </row>
    <row r="4" spans="1:2" x14ac:dyDescent="0.3">
      <c r="A4" s="127" t="s">
        <v>13</v>
      </c>
      <c r="B4" s="130">
        <f t="array" ref="B4">INDEX(table_stalai[Reikšmė],MATCH(INDEX(table_nustatymai[Reikšmė],MATCH("stalo pavadinimas",table_nustatymai[Parametras],0))&amp;table_nustatymai[[#This Row],[Parametras]],table_stalai[Stalo pavadinimas]&amp;table_stalai[Parametras],0))</f>
        <v>4000</v>
      </c>
    </row>
    <row r="5" spans="1:2" x14ac:dyDescent="0.3">
      <c r="A5" s="127" t="s">
        <v>14</v>
      </c>
      <c r="B5" s="130">
        <f t="array" ref="B5">INDEX(table_stalai[Reikšmė],MATCH(INDEX(table_nustatymai[Reikšmė],MATCH("stalo pavadinimas",table_nustatymai[Parametras],0))&amp;table_nustatymai[[#This Row],[Parametras]],table_stalai[Stalo pavadinimas]&amp;table_stalai[Parametras],0))</f>
        <v>600</v>
      </c>
    </row>
    <row r="6" spans="1:2" ht="14.4" x14ac:dyDescent="0.3">
      <c r="A6" s="131" t="s">
        <v>279</v>
      </c>
      <c r="B6" s="130">
        <f t="array" ref="B6">INDEX(table_stalai[Reikšmė],MATCH(INDEX(table_nustatymai[Reikšmė],MATCH("stalo pavadinimas",table_nustatymai[Parametras],0))&amp;table_nustatymai[[#This Row],[Parametras]],table_stalai[Stalo pavadinimas]&amp;table_stalai[Parametras],0))</f>
        <v>30000</v>
      </c>
    </row>
    <row r="7" spans="1:2" x14ac:dyDescent="0.3">
      <c r="A7" s="127" t="s">
        <v>15</v>
      </c>
      <c r="B7" s="130">
        <f t="array" ref="B7">INDEX(table_stalai[Reikšmė],MATCH(INDEX(table_nustatymai[Reikšmė],MATCH("stalo pavadinimas",table_nustatymai[Parametras],0))&amp;table_nustatymai[[#This Row],[Parametras]],table_stalai[Stalo pavadinimas]&amp;table_stalai[Parametras],0))</f>
        <v>400</v>
      </c>
    </row>
    <row r="8" spans="1:2" x14ac:dyDescent="0.3">
      <c r="A8" s="127" t="s">
        <v>191</v>
      </c>
      <c r="B8" s="130">
        <f t="array" ref="B8">INDEX(table_stalai[Reikšmė],MATCH(INDEX(table_nustatymai[Reikšmė],MATCH("stalo pavadinimas",table_nustatymai[Parametras],0))&amp;table_nustatymai[[#This Row],[Parametras]],table_stalai[Stalo pavadinimas]&amp;table_stalai[Parametras],0))</f>
        <v>3</v>
      </c>
    </row>
    <row r="9" spans="1:2" x14ac:dyDescent="0.3">
      <c r="A9" s="127" t="s">
        <v>238</v>
      </c>
      <c r="B9" s="130">
        <f t="array" ref="B9">INDEX(table_stalai[Reikšmė],MATCH(INDEX(table_nustatymai[Reikšmė],MATCH("stalo pavadinimas",table_nustatymai[Parametras],0))&amp;table_nustatymai[[#This Row],[Parametras]],table_stalai[Stalo pavadinimas]&amp;table_stalai[Parametras],0))</f>
        <v>30</v>
      </c>
    </row>
    <row r="10" spans="1:2" x14ac:dyDescent="0.3">
      <c r="A10" s="127" t="s">
        <v>239</v>
      </c>
      <c r="B10" s="130">
        <f t="array" ref="B10">INDEX(table_stalai[Reikšmė],MATCH(INDEX(table_nustatymai[Reikšmė],MATCH("stalo pavadinimas",table_nustatymai[Parametras],0))&amp;table_nustatymai[[#This Row],[Parametras]],table_stalai[Stalo pavadinimas]&amp;table_stalai[Parametras],0))</f>
        <v>20</v>
      </c>
    </row>
    <row r="11" spans="1:2" x14ac:dyDescent="0.3">
      <c r="A11" s="127" t="s">
        <v>240</v>
      </c>
      <c r="B11" s="130">
        <f t="array" ref="B11">INDEX(table_stalai[Reikšmė],MATCH(INDEX(table_nustatymai[Reikšmė],MATCH("stalo pavadinimas",table_nustatymai[Parametras],0))&amp;table_nustatymai[[#This Row],[Parametras]],table_stalai[Stalo pavadinimas]&amp;table_stalai[Parametras],0))</f>
        <v>30</v>
      </c>
    </row>
    <row r="12" spans="1:2" x14ac:dyDescent="0.3">
      <c r="A12" s="127" t="s">
        <v>241</v>
      </c>
      <c r="B12" s="130">
        <f t="array" ref="B12">INDEX(table_stalai[Reikšmė],MATCH(INDEX(table_nustatymai[Reikšmė],MATCH("stalo pavadinimas",table_nustatymai[Parametras],0))&amp;table_nustatymai[[#This Row],[Parametras]],table_stalai[Stalo pavadinimas]&amp;table_stalai[Parametras],0))</f>
        <v>30</v>
      </c>
    </row>
    <row r="13" spans="1:2" ht="14.4" x14ac:dyDescent="0.3">
      <c r="A13" s="127" t="s">
        <v>61</v>
      </c>
      <c r="B13" s="132" t="s">
        <v>236</v>
      </c>
    </row>
    <row r="14" spans="1:2" ht="14.4" x14ac:dyDescent="0.3">
      <c r="A14" s="127" t="s">
        <v>129</v>
      </c>
      <c r="B14" s="132" t="s">
        <v>245</v>
      </c>
    </row>
    <row r="15" spans="1:2" ht="14.4" x14ac:dyDescent="0.3">
      <c r="A15" s="127" t="s">
        <v>62</v>
      </c>
      <c r="B15" s="132" t="s">
        <v>245</v>
      </c>
    </row>
    <row r="16" spans="1:2" ht="14.4" x14ac:dyDescent="0.3">
      <c r="A16" s="127" t="s">
        <v>63</v>
      </c>
      <c r="B16" s="132" t="s">
        <v>244</v>
      </c>
    </row>
    <row r="17" spans="1:2" ht="14.4" x14ac:dyDescent="0.3">
      <c r="A17" s="127" t="s">
        <v>2</v>
      </c>
      <c r="B17" s="132" t="s">
        <v>243</v>
      </c>
    </row>
    <row r="18" spans="1:2" ht="14.4" x14ac:dyDescent="0.3">
      <c r="A18" s="127" t="s">
        <v>132</v>
      </c>
      <c r="B18" s="133" t="s">
        <v>253</v>
      </c>
    </row>
    <row r="19" spans="1:2" ht="86.4" x14ac:dyDescent="0.3">
      <c r="A19" s="127" t="s">
        <v>133</v>
      </c>
      <c r="B19" s="134" t="s">
        <v>585</v>
      </c>
    </row>
    <row r="20" spans="1:2" x14ac:dyDescent="0.3">
      <c r="A20" s="127" t="s">
        <v>134</v>
      </c>
      <c r="B20" s="135"/>
    </row>
    <row r="21" spans="1:2" x14ac:dyDescent="0.3">
      <c r="A21" s="127" t="s">
        <v>130</v>
      </c>
      <c r="B21" s="135" t="s">
        <v>251</v>
      </c>
    </row>
    <row r="22" spans="1:2" ht="27.6" x14ac:dyDescent="0.3">
      <c r="A22" s="127" t="s">
        <v>131</v>
      </c>
      <c r="B22" s="136" t="s">
        <v>250</v>
      </c>
    </row>
  </sheetData>
  <sheetProtection selectLockedCells="1"/>
  <dataConsolidate/>
  <conditionalFormatting sqref="A2:A22">
    <cfRule type="duplicateValues" dxfId="17" priority="2"/>
  </conditionalFormatting>
  <dataValidations count="1">
    <dataValidation type="list" allowBlank="1" showInputMessage="1" showErrorMessage="1" sqref="B2" xr:uid="{00000000-0002-0000-0600-000000000000}">
      <formula1>"2 linija,2 linija +,3 linija,3 linija +"</formula1>
    </dataValidation>
  </dataValidations>
  <hyperlinks>
    <hyperlink ref="B13" r:id="rId1" xr:uid="{00000000-0004-0000-0600-000000000000}"/>
    <hyperlink ref="B14" r:id="rId2" xr:uid="{00000000-0004-0000-0600-000001000000}"/>
    <hyperlink ref="B15" r:id="rId3" xr:uid="{00000000-0004-0000-0600-000002000000}"/>
    <hyperlink ref="B16" r:id="rId4" xr:uid="{00000000-0004-0000-0600-000003000000}"/>
    <hyperlink ref="B17" r:id="rId5" xr:uid="{00000000-0004-0000-0600-000004000000}"/>
    <hyperlink ref="B18" r:id="rId6" display="e.grigonis@inhus.eu;" xr:uid="{557A8D91-BB43-45F1-81F9-0480A2DB2E2C}"/>
  </hyperlinks>
  <pageMargins left="0.7" right="0.7" top="0.75" bottom="0.75" header="0.3" footer="0.3"/>
  <pageSetup paperSize="9" orientation="portrait" r:id="rId7"/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>
    <tabColor theme="0" tint="-0.249977111117893"/>
  </sheetPr>
  <dimension ref="A1:C41"/>
  <sheetViews>
    <sheetView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1" width="23.109375" style="92" bestFit="1" customWidth="1"/>
    <col min="2" max="2" width="24.44140625" style="92" bestFit="1" customWidth="1"/>
    <col min="3" max="3" width="13" style="93" bestFit="1" customWidth="1"/>
    <col min="4" max="16384" width="9.109375" style="92"/>
  </cols>
  <sheetData>
    <row r="1" spans="1:3" x14ac:dyDescent="0.3">
      <c r="A1" s="90" t="s">
        <v>190</v>
      </c>
      <c r="B1" s="90" t="s">
        <v>0</v>
      </c>
      <c r="C1" s="91" t="s">
        <v>1</v>
      </c>
    </row>
    <row r="2" spans="1:3" x14ac:dyDescent="0.3">
      <c r="A2" s="92" t="s">
        <v>242</v>
      </c>
      <c r="B2" s="92" t="s">
        <v>12</v>
      </c>
      <c r="C2" s="93">
        <v>12500</v>
      </c>
    </row>
    <row r="3" spans="1:3" x14ac:dyDescent="0.3">
      <c r="A3" s="92" t="s">
        <v>242</v>
      </c>
      <c r="B3" s="92" t="s">
        <v>13</v>
      </c>
      <c r="C3" s="93">
        <v>3850</v>
      </c>
    </row>
    <row r="4" spans="1:3" x14ac:dyDescent="0.3">
      <c r="A4" s="92" t="s">
        <v>242</v>
      </c>
      <c r="B4" s="92" t="s">
        <v>14</v>
      </c>
      <c r="C4" s="93">
        <v>470</v>
      </c>
    </row>
    <row r="5" spans="1:3" x14ac:dyDescent="0.3">
      <c r="A5" s="92" t="s">
        <v>242</v>
      </c>
      <c r="B5" s="92" t="s">
        <v>279</v>
      </c>
      <c r="C5" s="93">
        <v>18000</v>
      </c>
    </row>
    <row r="6" spans="1:3" x14ac:dyDescent="0.3">
      <c r="A6" s="92" t="s">
        <v>242</v>
      </c>
      <c r="B6" s="92" t="s">
        <v>15</v>
      </c>
      <c r="C6" s="93">
        <v>300</v>
      </c>
    </row>
    <row r="7" spans="1:3" x14ac:dyDescent="0.3">
      <c r="A7" s="92" t="s">
        <v>242</v>
      </c>
      <c r="B7" s="92" t="s">
        <v>191</v>
      </c>
      <c r="C7" s="93">
        <v>40</v>
      </c>
    </row>
    <row r="8" spans="1:3" x14ac:dyDescent="0.3">
      <c r="A8" s="92" t="s">
        <v>242</v>
      </c>
      <c r="B8" s="92" t="s">
        <v>238</v>
      </c>
      <c r="C8" s="93">
        <v>30</v>
      </c>
    </row>
    <row r="9" spans="1:3" x14ac:dyDescent="0.3">
      <c r="A9" s="92" t="s">
        <v>242</v>
      </c>
      <c r="B9" s="92" t="s">
        <v>239</v>
      </c>
      <c r="C9" s="93">
        <v>200</v>
      </c>
    </row>
    <row r="10" spans="1:3" x14ac:dyDescent="0.3">
      <c r="A10" s="92" t="s">
        <v>242</v>
      </c>
      <c r="B10" s="92" t="s">
        <v>240</v>
      </c>
      <c r="C10" s="93">
        <v>100</v>
      </c>
    </row>
    <row r="11" spans="1:3" x14ac:dyDescent="0.3">
      <c r="A11" s="92" t="s">
        <v>242</v>
      </c>
      <c r="B11" s="92" t="s">
        <v>241</v>
      </c>
      <c r="C11" s="93">
        <v>100</v>
      </c>
    </row>
    <row r="12" spans="1:3" x14ac:dyDescent="0.3">
      <c r="A12" s="92" t="s">
        <v>249</v>
      </c>
      <c r="B12" s="92" t="s">
        <v>12</v>
      </c>
      <c r="C12" s="93">
        <v>12500</v>
      </c>
    </row>
    <row r="13" spans="1:3" x14ac:dyDescent="0.3">
      <c r="A13" s="92" t="s">
        <v>249</v>
      </c>
      <c r="B13" s="92" t="s">
        <v>13</v>
      </c>
      <c r="C13" s="93">
        <v>3850</v>
      </c>
    </row>
    <row r="14" spans="1:3" x14ac:dyDescent="0.3">
      <c r="A14" s="92" t="s">
        <v>249</v>
      </c>
      <c r="B14" s="92" t="s">
        <v>14</v>
      </c>
      <c r="C14" s="93">
        <v>470</v>
      </c>
    </row>
    <row r="15" spans="1:3" x14ac:dyDescent="0.3">
      <c r="A15" s="92" t="s">
        <v>249</v>
      </c>
      <c r="B15" s="92" t="s">
        <v>279</v>
      </c>
      <c r="C15" s="93">
        <v>18000</v>
      </c>
    </row>
    <row r="16" spans="1:3" x14ac:dyDescent="0.3">
      <c r="A16" s="92" t="s">
        <v>249</v>
      </c>
      <c r="B16" s="92" t="s">
        <v>15</v>
      </c>
      <c r="C16" s="93">
        <v>300</v>
      </c>
    </row>
    <row r="17" spans="1:3" x14ac:dyDescent="0.3">
      <c r="A17" s="92" t="s">
        <v>249</v>
      </c>
      <c r="B17" s="92" t="s">
        <v>191</v>
      </c>
      <c r="C17" s="93">
        <v>10</v>
      </c>
    </row>
    <row r="18" spans="1:3" x14ac:dyDescent="0.3">
      <c r="A18" s="92" t="s">
        <v>249</v>
      </c>
      <c r="B18" s="92" t="s">
        <v>238</v>
      </c>
      <c r="C18" s="93">
        <v>30</v>
      </c>
    </row>
    <row r="19" spans="1:3" x14ac:dyDescent="0.3">
      <c r="A19" s="92" t="s">
        <v>249</v>
      </c>
      <c r="B19" s="92" t="s">
        <v>239</v>
      </c>
      <c r="C19" s="93">
        <v>70</v>
      </c>
    </row>
    <row r="20" spans="1:3" x14ac:dyDescent="0.3">
      <c r="A20" s="92" t="s">
        <v>249</v>
      </c>
      <c r="B20" s="92" t="s">
        <v>240</v>
      </c>
      <c r="C20" s="93">
        <v>100</v>
      </c>
    </row>
    <row r="21" spans="1:3" x14ac:dyDescent="0.3">
      <c r="A21" s="92" t="s">
        <v>249</v>
      </c>
      <c r="B21" s="92" t="s">
        <v>241</v>
      </c>
      <c r="C21" s="93">
        <v>100</v>
      </c>
    </row>
    <row r="22" spans="1:3" x14ac:dyDescent="0.3">
      <c r="A22" s="94" t="s">
        <v>237</v>
      </c>
      <c r="B22" s="94" t="s">
        <v>12</v>
      </c>
      <c r="C22" s="95">
        <v>13000</v>
      </c>
    </row>
    <row r="23" spans="1:3" x14ac:dyDescent="0.3">
      <c r="A23" s="94" t="s">
        <v>237</v>
      </c>
      <c r="B23" s="94" t="s">
        <v>13</v>
      </c>
      <c r="C23" s="95">
        <v>4000</v>
      </c>
    </row>
    <row r="24" spans="1:3" x14ac:dyDescent="0.3">
      <c r="A24" s="94" t="s">
        <v>237</v>
      </c>
      <c r="B24" s="94" t="s">
        <v>14</v>
      </c>
      <c r="C24" s="95">
        <v>600</v>
      </c>
    </row>
    <row r="25" spans="1:3" x14ac:dyDescent="0.3">
      <c r="A25" s="94" t="s">
        <v>237</v>
      </c>
      <c r="B25" s="94" t="s">
        <v>279</v>
      </c>
      <c r="C25" s="95">
        <v>30000</v>
      </c>
    </row>
    <row r="26" spans="1:3" x14ac:dyDescent="0.3">
      <c r="A26" s="94" t="s">
        <v>237</v>
      </c>
      <c r="B26" s="94" t="s">
        <v>15</v>
      </c>
      <c r="C26" s="95">
        <v>400</v>
      </c>
    </row>
    <row r="27" spans="1:3" x14ac:dyDescent="0.3">
      <c r="A27" s="94" t="s">
        <v>237</v>
      </c>
      <c r="B27" s="94" t="s">
        <v>191</v>
      </c>
      <c r="C27" s="95">
        <v>3</v>
      </c>
    </row>
    <row r="28" spans="1:3" x14ac:dyDescent="0.3">
      <c r="A28" s="94" t="s">
        <v>237</v>
      </c>
      <c r="B28" s="94" t="s">
        <v>238</v>
      </c>
      <c r="C28" s="95">
        <v>30</v>
      </c>
    </row>
    <row r="29" spans="1:3" x14ac:dyDescent="0.3">
      <c r="A29" s="94" t="s">
        <v>237</v>
      </c>
      <c r="B29" s="94" t="s">
        <v>239</v>
      </c>
      <c r="C29" s="95">
        <v>20</v>
      </c>
    </row>
    <row r="30" spans="1:3" x14ac:dyDescent="0.3">
      <c r="A30" s="94" t="s">
        <v>237</v>
      </c>
      <c r="B30" s="94" t="s">
        <v>240</v>
      </c>
      <c r="C30" s="95">
        <v>30</v>
      </c>
    </row>
    <row r="31" spans="1:3" x14ac:dyDescent="0.3">
      <c r="A31" s="94" t="s">
        <v>237</v>
      </c>
      <c r="B31" s="94" t="s">
        <v>241</v>
      </c>
      <c r="C31" s="95">
        <v>30</v>
      </c>
    </row>
    <row r="32" spans="1:3" x14ac:dyDescent="0.3">
      <c r="A32" s="117" t="s">
        <v>246</v>
      </c>
      <c r="B32" s="117" t="s">
        <v>12</v>
      </c>
      <c r="C32" s="118">
        <v>13000</v>
      </c>
    </row>
    <row r="33" spans="1:3" x14ac:dyDescent="0.3">
      <c r="A33" s="117" t="s">
        <v>246</v>
      </c>
      <c r="B33" s="117" t="s">
        <v>13</v>
      </c>
      <c r="C33" s="118">
        <v>4500</v>
      </c>
    </row>
    <row r="34" spans="1:3" x14ac:dyDescent="0.3">
      <c r="A34" s="117" t="s">
        <v>246</v>
      </c>
      <c r="B34" s="117" t="s">
        <v>14</v>
      </c>
      <c r="C34" s="118">
        <v>600</v>
      </c>
    </row>
    <row r="35" spans="1:3" x14ac:dyDescent="0.3">
      <c r="A35" s="117" t="s">
        <v>246</v>
      </c>
      <c r="B35" s="117" t="s">
        <v>279</v>
      </c>
      <c r="C35" s="118">
        <v>30000</v>
      </c>
    </row>
    <row r="36" spans="1:3" x14ac:dyDescent="0.3">
      <c r="A36" s="117" t="s">
        <v>246</v>
      </c>
      <c r="B36" s="117" t="s">
        <v>15</v>
      </c>
      <c r="C36" s="118">
        <v>500</v>
      </c>
    </row>
    <row r="37" spans="1:3" x14ac:dyDescent="0.3">
      <c r="A37" s="117" t="s">
        <v>246</v>
      </c>
      <c r="B37" s="117" t="s">
        <v>191</v>
      </c>
      <c r="C37" s="118">
        <v>3</v>
      </c>
    </row>
    <row r="38" spans="1:3" x14ac:dyDescent="0.3">
      <c r="A38" s="117" t="s">
        <v>246</v>
      </c>
      <c r="B38" s="117" t="s">
        <v>238</v>
      </c>
      <c r="C38" s="118">
        <v>30</v>
      </c>
    </row>
    <row r="39" spans="1:3" x14ac:dyDescent="0.3">
      <c r="A39" s="117" t="s">
        <v>246</v>
      </c>
      <c r="B39" s="117" t="s">
        <v>239</v>
      </c>
      <c r="C39" s="118">
        <v>220</v>
      </c>
    </row>
    <row r="40" spans="1:3" x14ac:dyDescent="0.3">
      <c r="A40" s="117" t="s">
        <v>246</v>
      </c>
      <c r="B40" s="117" t="s">
        <v>240</v>
      </c>
      <c r="C40" s="118">
        <v>30</v>
      </c>
    </row>
    <row r="41" spans="1:3" x14ac:dyDescent="0.3">
      <c r="A41" s="117" t="s">
        <v>246</v>
      </c>
      <c r="B41" s="117" t="s">
        <v>241</v>
      </c>
      <c r="C41" s="118">
        <v>30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">
    <tabColor rgb="FFFFFF00"/>
  </sheetPr>
  <dimension ref="B2:C25"/>
  <sheetViews>
    <sheetView workbookViewId="0">
      <selection activeCell="B27" sqref="B27"/>
    </sheetView>
  </sheetViews>
  <sheetFormatPr defaultColWidth="9.109375" defaultRowHeight="13.8" x14ac:dyDescent="0.3"/>
  <cols>
    <col min="1" max="1" width="2.6640625" style="1" customWidth="1"/>
    <col min="2" max="16384" width="9.109375" style="1"/>
  </cols>
  <sheetData>
    <row r="2" spans="2:3" x14ac:dyDescent="0.3">
      <c r="B2" s="24" t="s">
        <v>115</v>
      </c>
    </row>
    <row r="4" spans="2:3" x14ac:dyDescent="0.3">
      <c r="B4" s="1" t="s">
        <v>116</v>
      </c>
    </row>
    <row r="6" spans="2:3" x14ac:dyDescent="0.3">
      <c r="B6" s="24" t="s">
        <v>117</v>
      </c>
    </row>
    <row r="8" spans="2:3" x14ac:dyDescent="0.3">
      <c r="B8" s="1" t="s">
        <v>118</v>
      </c>
    </row>
    <row r="10" spans="2:3" x14ac:dyDescent="0.3">
      <c r="B10" s="24" t="s">
        <v>119</v>
      </c>
    </row>
    <row r="12" spans="2:3" x14ac:dyDescent="0.3">
      <c r="B12" s="1" t="s">
        <v>120</v>
      </c>
    </row>
    <row r="14" spans="2:3" x14ac:dyDescent="0.3">
      <c r="C14" s="1" t="s">
        <v>121</v>
      </c>
    </row>
    <row r="15" spans="2:3" x14ac:dyDescent="0.3">
      <c r="C15" s="1" t="s">
        <v>122</v>
      </c>
    </row>
    <row r="16" spans="2:3" x14ac:dyDescent="0.3">
      <c r="C16" s="1" t="s">
        <v>123</v>
      </c>
    </row>
    <row r="18" spans="2:3" x14ac:dyDescent="0.3">
      <c r="B18" s="24" t="s">
        <v>124</v>
      </c>
    </row>
    <row r="20" spans="2:3" x14ac:dyDescent="0.3">
      <c r="B20" s="1" t="s">
        <v>125</v>
      </c>
    </row>
    <row r="22" spans="2:3" x14ac:dyDescent="0.3">
      <c r="B22" s="24" t="s">
        <v>126</v>
      </c>
    </row>
    <row r="24" spans="2:3" x14ac:dyDescent="0.3">
      <c r="C24" s="1" t="s">
        <v>127</v>
      </c>
    </row>
    <row r="25" spans="2:3" x14ac:dyDescent="0.3">
      <c r="C25" s="1" t="s">
        <v>128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DFE15C-3C72-4312-BAE5-E8C96F3DF0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table_nedarbo_dienos</vt:lpstr>
      <vt:lpstr>table_gaminiu_grupes</vt:lpstr>
      <vt:lpstr>product</vt:lpstr>
      <vt:lpstr>planas</vt:lpstr>
      <vt:lpstr>37 Sav</vt:lpstr>
      <vt:lpstr>suvestine</vt:lpstr>
      <vt:lpstr>komplektas</vt:lpstr>
      <vt:lpstr>nustatymai</vt:lpstr>
      <vt:lpstr>n-stalai</vt:lpstr>
      <vt:lpstr>instrukcija</vt:lpstr>
      <vt:lpstr>plano_sav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Daumantas Kudžma</dc:creator>
  <cp:lastModifiedBy>Daumantas Kudžma</cp:lastModifiedBy>
  <cp:lastPrinted>2023-06-27T06:20:00Z</cp:lastPrinted>
  <dcterms:created xsi:type="dcterms:W3CDTF">2014-03-10T08:40:56Z</dcterms:created>
  <dcterms:modified xsi:type="dcterms:W3CDTF">2023-09-12T13:07:40Z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tton_atnaujink_click_1" visible="true" label="ATNAUJINK SUVESTINE" imageMso="RecurrenceEdit" onAction="button_atnaujink_click"/>
        <mso:button idQ="doc:sudaryk_komplektus_click_1" visible="true" label="sudaryk_komplektus_click" imageMso="ListMacros" onAction="sudaryk_komplektus_click"/>
        <mso:button idQ="doc:nupiesk_komplekta_1" visible="true" label="nupiesk_komplekta" imageMso="SlidesPerPage9Slides" onAction="nupiesk_komplekta"/>
        <mso:button idQ="doc:isvalyk_plana_click_1" visible="true" label="isvalyk_plana_click" imageMso="CancelRequest" onAction="isvalyk_plana_click"/>
        <mso:button idQ="doc:i_gamybos_plana_click_1_1" visible="true" label="i_gamybos_plana_click_1" imageMso="AppointmentColor0" onAction="i_gamybos_plana_click_1"/>
        <mso:button idQ="doc:i_gamybos_plana_click_2_1" visible="true" label="i_gamybos_plana_click_2" imageMso="AppointmentColor4" onAction="i_gamybos_plana_click_2"/>
        <mso:button idQ="doc:i_gamybos_plana_click_3_1" visible="true" label="i_gamybos_plana_click_3" imageMso="AppointmentColor0" onAction="i_gamybos_plana_click_3"/>
        <mso:button idQ="doc:i_gamybos_plana_click_4_1" visible="true" label="i_gamybos_plana_click_4" imageMso="AppointmentColor4" onAction="i_gamybos_plana_click_4"/>
        <mso:button idQ="doc:i_gamybos_plana_click_5_1" visible="true" label="i_gamybos_plana_click_5" imageMso="AppointmentColor0" onAction="i_gamybos_plana_click_5"/>
        <mso:button idQ="doc:i_gamybos_plana_click_6_1" visible="true" label="i_gamybos_plana_click_6" imageMso="AppointmentColor1" onAction="i_gamybos_plana_click_6"/>
        <mso:button idQ="doc:i_gamybos_plana_click_7_1" visible="true" label="i_gamybos_plana_click_7" imageMso="AppointmentColor1" onAction="i_gamybos_plana_click_7"/>
        <mso:button idQ="doc:perstumk_komplekta_plane_i_virsu_click_1" visible="true" label="perstumk_komplekta_plane_i_virsu_click" imageMso="_3DPerspectiveIncrease" onAction="perstumk_komplekta_plane_i_virsu_click"/>
        <mso:button idQ="doc:perstumk_komplekta_plane_zemyn_click_1" visible="true" label="perstumk_komplekta_plane_zemyn_click" imageMso="_3DPerspectiveDecrease" onAction="perstumk_komplekta_plane_zemyn_click"/>
        <mso:button idQ="doc:isvalyk_komplekta_plane_click_1" visible="true" label="isvalyk_komplekta_plane_click" imageMso="SadFace" onAction="isvalyk_komplekta_plane_click"/>
        <mso:button idQ="doc:generuok_plana_derinimui_click_1" visible="true" label="generuok_plana_derinimui_click" imageMso="FrontPageToggleBookmark" onAction="generuok_plana_derinimui_click"/>
        <mso:button idQ="doc:tvirtink_plana_click_1" visible="true" label="tvirtink_plana_click" imageMso="TraceError" onAction="tvirtink_plana_click"/>
        <mso:button idQ="doc:perskaiciuok_stalo_uzkrautuma_1_tipo_stalas_1" visible="true" label="perskaiciuok_stalo_uzkrautuma" imageMso="ViewSlideSorterView" onAction="perskaiciuok_stalo_uzkrautuma_1_tipo_stalas"/>
      </mso:documentControls>
    </mso:qat>
  </mso:ribbon>
</mso:customUI>
</file>